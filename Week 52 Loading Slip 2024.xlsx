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"/>
    </mc:Choice>
  </mc:AlternateContent>
  <xr:revisionPtr revIDLastSave="0" documentId="13_ncr:1_{A29F2B53-5CF6-4B7E-9BAC-2668604407D1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A45" i="8"/>
  <c r="A44" i="8"/>
  <c r="A42" i="8"/>
  <c r="A39" i="8"/>
  <c r="A38" i="8"/>
  <c r="G9" i="8"/>
  <c r="G7" i="8"/>
  <c r="G5" i="8"/>
  <c r="G4" i="8"/>
  <c r="A11" i="8"/>
  <c r="K94" i="8" s="1"/>
  <c r="A10" i="8"/>
  <c r="A8" i="8"/>
  <c r="A5" i="8"/>
  <c r="A4" i="8"/>
  <c r="K87" i="8" s="1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90" i="8" l="1"/>
  <c r="K66" i="9"/>
  <c r="K59" i="9"/>
  <c r="K64" i="9"/>
  <c r="K62" i="9"/>
  <c r="K63" i="9"/>
  <c r="K61" i="7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<sst xmlns="http://schemas.openxmlformats.org/spreadsheetml/2006/main" count="1136" uniqueCount="193">
  <si>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</si>
  <si>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</si>
  <si>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</si>
  <si>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</si>
  <si>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</si>
  <si>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</si>
  <si>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</si>
  <si>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</si>
  <si>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</si>
  <si>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</si>
  <si>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</si>
  <si>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</si>
  <si>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</si>
  <si>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</si>
  <si>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</si>
  <si>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</si>
  <si>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</si>
  <si>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</si>
  <si>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</si>
  <si>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</si>
  <si>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</si>
  <si>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</si>
  <si>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</si>
  <si>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</si>
  <si>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</si>
  <si>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</si>
  <si>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</si>
  <si>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</si>
  <si>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</si>
  <si>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</si>
  <si>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</si>
  <si>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</si>
  <si>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</si>
  <si>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</si>
  <si>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</si>
  <si>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</si>
  <si>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</si>
  <si>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</si>
  <si>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</si>
  <si>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</si>
  <si>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</si>
  <si>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</si>
  <si>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</si>
  <si>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</si>
  <si>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</si>
  <si>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</si>
  <si>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</si>
  <si>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</si>
  <si>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</si>
  <si>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</si>
  <si>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</si>
  <si>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</si>
  <si>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</si>
  <si>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</si>
  <si>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</si>
  <si>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</si>
  <si>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</si>
  <si>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</si>
  <si>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</si>
  <si>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</si>
  <si>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</si>
  <si>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</si>
  <si>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</si>
  <si>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</si>
  <si>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</si>
  <si>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</si>
  <si>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</si>
  <si>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</si>
  <si>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</si>
  <si>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</si>
  <si>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</si>
  <si>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</si>
  <si>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</si>
  <si>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</si>
  <si>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</si>
  <si>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</si>
  <si>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</si>
  <si>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</si>
  <si>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</si>
  <si>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</si>
  <si>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</si>
  <si>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</si>
  <si>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</si>
  <si>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</si>
  <si>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</si>
  <si>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</si>
  <si>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</si>
  <si>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</si>
  <si>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</si>
  <si>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</si>
  <si>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</si>
  <si>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</si>
  <si>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</si>
  <si>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</si>
  <si>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</si>
  <si>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</si>
  <si>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</si>
  <si>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</si>
  <si>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</si>
  <si>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</si>
  <si>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</si>
  <si>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</si>
  <si>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</si>
  <si>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</si>
  <si>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</si>
  <si>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</si>
  <si>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</si>
  <si>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</si>
  <si>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</si>
  <si>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</si>
  <si>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</si>
  <si>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</si>
  <si>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</si>
  <si>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</si>
  <si>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</si>
  <si>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</si>
  <si>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</si>
  <si>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</si>
  <si>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</si>
  <si>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</si>
  <si>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</si>
  <si>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</si>
  <si>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</si>
  <si>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</si>
  <si>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</si>
  <si>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</si>
  <si>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</si>
  <si>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</si>
  <si>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</si>
  <si>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</si>
  <si>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</si>
  <si>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</si>
  <si>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</si>
  <si>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</si>
  <si>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</si>
  <si>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</si>
  <si>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</si>
  <si>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</si>
  <si>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</si>
  <si>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</si>
  <si>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</si>
  <si>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</si>
  <si>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</si>
  <si>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</si>
  <si>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</si>
  <si>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</si>
  <si>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</si>
  <si>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</si>
  <si>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</si>
  <si>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</si>
  <si>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</si>
  <si>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</si>
  <si>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</si>
  <si>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</si>
  <si>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</si>
  <si>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</si>
  <si>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</si>
  <si>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</si>
  <si>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</si>
  <si>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</si>
  <si>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</si>
  <si>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</si>
  <si>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</si>
  <si>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</si>
  <si>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</si>
  <si>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</si>
  <si>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</si>
  <si>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</si>
  <si>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</si>
  <si>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</si>
  <si>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</si>
  <si>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</si>
  <si>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</si>
  <si>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</si>
  <si>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</si>
  <si>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</si>
  <si>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</si>
  <si>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</si>
  <si>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</si>
  <si>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</si>
  <si>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</si>
  <si>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</si>
  <si>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</si>
  <si>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</si>
  <si>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</si>
  <si>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</si>
  <si>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</si>
  <si>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</si>
  <si>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</si>
  <si>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</si>
  <si>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</si>
  <si>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</si>
  <si>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8667/8736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</si>
</sst>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4" sqref="L44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45649</v>
      </c>
      <c r="E1" s="96"/>
      <c r="F1" s="96"/>
      <c r="H1" s="63" t="s">
        <v>144</v>
      </c>
      <c r="I1" s="64">
        <f>D1+42-1</f>
        <v>45690</v>
      </c>
      <c r="L1" s="19" t="s">
        <v>38</v>
      </c>
    </row>
    <row r="2" spans="1:12" ht="15.75" x14ac:dyDescent="0.25">
      <c r="B2" s="41" t="s">
        <v>106</v>
      </c>
      <c r="C2" s="50">
        <v>52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2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4</v>
      </c>
      <c r="I5" s="2" t="s">
        <v>19</v>
      </c>
    </row>
    <row r="6" spans="1:12" x14ac:dyDescent="0.25">
      <c r="A6">
        <f>ROUNDDOWN(B6/24,0)</f>
        <v>1</v>
      </c>
      <c r="B6" s="39">
        <v>24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12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2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2</v>
      </c>
      <c r="B9" s="39">
        <v>40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15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44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4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4872723269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2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8741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107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45649</v>
      </c>
      <c r="E34" s="96"/>
      <c r="F34" s="96"/>
      <c r="H34" s="63" t="s">
        <v>144</v>
      </c>
      <c r="I34" s="67">
        <f>I1</f>
        <v>45690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2</v>
      </c>
      <c r="F37" s="2" t="s">
        <v>19</v>
      </c>
      <c r="H37" s="39">
        <v>8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14</v>
      </c>
      <c r="F38" s="2" t="s">
        <v>20</v>
      </c>
      <c r="H38" s="39">
        <v>23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0</v>
      </c>
      <c r="B41" s="39">
        <v>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1</v>
      </c>
      <c r="C42" s="2" t="s">
        <v>9</v>
      </c>
      <c r="E42" s="39">
        <v>14</v>
      </c>
      <c r="F42" s="2" t="s">
        <v>22</v>
      </c>
      <c r="H42" s="39">
        <v>26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17</v>
      </c>
      <c r="F46" s="16" t="s">
        <v>28</v>
      </c>
      <c r="H46" s="39">
        <v>41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99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8740</v>
      </c>
      <c r="H49" s="2" t="s">
        <v>36</v>
      </c>
      <c r="I49" s="16" t="s">
        <v>192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36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4</v>
      </c>
      <c r="L53" t="s">
        <v>51</v>
      </c>
    </row>
    <row r="54" spans="2:12" x14ac:dyDescent="0.25">
      <c r="B54" s="39">
        <f>SUM(B37:B53)</f>
        <v>5</v>
      </c>
      <c r="C54" s="2" t="s">
        <v>35</v>
      </c>
      <c r="E54" s="39">
        <v>2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3</v>
      </c>
      <c r="L54" s="16" t="s">
        <v>2</v>
      </c>
    </row>
    <row r="55" spans="2:12" x14ac:dyDescent="0.25">
      <c r="E55" s="39">
        <v>2</v>
      </c>
      <c r="F55" s="16" t="s">
        <v>12</v>
      </c>
      <c r="H55" s="39">
        <v>0</v>
      </c>
      <c r="I55" s="2" t="s">
        <v>33</v>
      </c>
      <c r="K55" s="39">
        <f>SUM(K53:K54)</f>
        <v>7</v>
      </c>
      <c r="L55" s="2" t="s">
        <v>35</v>
      </c>
    </row>
    <row r="56" spans="2:12" x14ac:dyDescent="0.25">
      <c r="C56" s="4"/>
      <c r="E56" s="39">
        <f>SUM(E53:E55)</f>
        <v>40</v>
      </c>
      <c r="F56" s="2" t="s">
        <v>35</v>
      </c>
      <c r="G56">
        <f>ROUNDDOWN(H56/13,0)</f>
        <v>0</v>
      </c>
      <c r="H56" s="39">
        <v>0</v>
      </c>
      <c r="I56" s="2" t="s">
        <v>104</v>
      </c>
    </row>
    <row r="57" spans="2:12" x14ac:dyDescent="0.25">
      <c r="H57" s="39">
        <v>0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0</v>
      </c>
      <c r="I58" s="16" t="s">
        <v>34</v>
      </c>
      <c r="K58" s="17" t="s">
        <v>161</v>
      </c>
      <c r="L58" s="5"/>
    </row>
    <row r="59" spans="2:12" x14ac:dyDescent="0.25">
      <c r="E59" s="39">
        <v>40</v>
      </c>
      <c r="F59" s="2" t="s">
        <v>29</v>
      </c>
      <c r="H59" s="39">
        <f>SUM(H53:H58)</f>
        <v>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/>
    </row>
    <row r="62" spans="2:12" x14ac:dyDescent="0.25">
      <c r="E62" s="39">
        <f>SUM(E59:E61)</f>
        <v>40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3</v>
      </c>
      <c r="C70" s="2" t="s">
        <v>41</v>
      </c>
      <c r="D70" s="35">
        <f>E70*15</f>
        <v>210</v>
      </c>
      <c r="E70" s="15">
        <f t="shared" ref="E70:E79" si="0">H5+E37+H37</f>
        <v>14</v>
      </c>
      <c r="F70" s="2" t="s">
        <v>19</v>
      </c>
      <c r="H70" s="13">
        <f>E5+H53</f>
        <v>2</v>
      </c>
      <c r="I70" s="2" t="s">
        <v>45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24</v>
      </c>
      <c r="C71" s="2" t="s">
        <v>42</v>
      </c>
      <c r="D71" s="35">
        <f t="shared" ref="D71:D77" si="1">E71*15</f>
        <v>735</v>
      </c>
      <c r="E71" s="14">
        <f t="shared" si="0"/>
        <v>49</v>
      </c>
      <c r="F71" s="2" t="s">
        <v>20</v>
      </c>
      <c r="H71" s="14">
        <f>E6+E16+E59+H54+E53</f>
        <v>110</v>
      </c>
      <c r="I71" s="2" t="s">
        <v>46</v>
      </c>
      <c r="K71" s="13">
        <f>B11+E10+B31+B43+H58</f>
        <v>39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4</v>
      </c>
      <c r="L72" s="2" t="s">
        <v>8</v>
      </c>
    </row>
    <row r="73" spans="2:12" x14ac:dyDescent="0.25">
      <c r="B73" s="26">
        <f>B8+B29+B40</f>
        <v>3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10</v>
      </c>
      <c r="I73" s="2" t="s">
        <v>104</v>
      </c>
      <c r="K73" s="47">
        <f>K53</f>
        <v>4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3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460</v>
      </c>
      <c r="E75" s="14">
        <f t="shared" si="0"/>
        <v>46</v>
      </c>
      <c r="F75" s="2" t="s">
        <v>22</v>
      </c>
      <c r="K75" s="47">
        <f>K54</f>
        <v>3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480</v>
      </c>
      <c r="E79" s="14">
        <f t="shared" si="0"/>
        <v>60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1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40</v>
      </c>
      <c r="H87" s="29">
        <f>K72</f>
        <v>4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45</v>
      </c>
      <c r="H88" s="26">
        <f>B73</f>
        <v>3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0</v>
      </c>
      <c r="L90" s="2" t="s">
        <v>104</v>
      </c>
    </row>
    <row r="91" spans="2:12" x14ac:dyDescent="0.25">
      <c r="B91" s="14">
        <f>B21+B53</f>
        <v>0</v>
      </c>
      <c r="C91" s="2" t="s">
        <v>18</v>
      </c>
      <c r="G91" s="35">
        <f>H91*8</f>
        <v>80</v>
      </c>
      <c r="H91" s="21">
        <f>H73</f>
        <v>10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K39" sqref="K39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45650</v>
      </c>
      <c r="E1" s="95"/>
      <c r="F1" s="95"/>
      <c r="H1" s="63" t="s">
        <v>144</v>
      </c>
      <c r="I1" s="64">
        <f>Mon!D1+42-1</f>
        <v>45690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3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8</v>
      </c>
      <c r="L5" s="2" t="s">
        <v>42</v>
      </c>
    </row>
    <row r="6" spans="1:12" ht="12.4" customHeight="1" x14ac:dyDescent="0.25">
      <c r="B6" s="39">
        <v>3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3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2</v>
      </c>
      <c r="E8" s="39">
        <v>40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10</v>
      </c>
      <c r="C9" s="2" t="s">
        <v>9</v>
      </c>
      <c r="E9" s="39">
        <v>0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10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10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1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3</v>
      </c>
      <c r="L20" s="75" t="s">
        <v>44</v>
      </c>
    </row>
    <row r="21" spans="1:18" ht="12.4" customHeight="1" x14ac:dyDescent="0.25">
      <c r="B21" s="39">
        <f>SUM(B4:B20)</f>
        <v>110</v>
      </c>
      <c r="C21" s="2" t="s">
        <v>35</v>
      </c>
      <c r="E21" s="39">
        <f>SUM(E4:E20)</f>
        <v>40</v>
      </c>
      <c r="F21" s="2" t="s">
        <v>35</v>
      </c>
      <c r="H21" s="39">
        <f>SUM(H4:H20)</f>
        <v>51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26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4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73</v>
      </c>
      <c r="C30" s="2" t="s">
        <v>35</v>
      </c>
      <c r="E30" s="39">
        <f>SUM(E24:E29)</f>
        <v>28</v>
      </c>
      <c r="F30" s="2" t="s">
        <v>35</v>
      </c>
      <c r="H30" s="39">
        <v>2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44</v>
      </c>
      <c r="L31" s="89" t="s">
        <v>44</v>
      </c>
    </row>
    <row r="32" spans="1:18" ht="12.4" customHeight="1" x14ac:dyDescent="0.25">
      <c r="B32" s="2" t="s">
        <v>36</v>
      </c>
      <c r="C32" s="16">
        <v>4872727571</v>
      </c>
      <c r="E32" s="2" t="s">
        <v>36</v>
      </c>
      <c r="F32" s="16">
        <v>4872726757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10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10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21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5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28</v>
      </c>
      <c r="L43" s="2" t="s">
        <v>9</v>
      </c>
    </row>
    <row r="44" spans="2:12" x14ac:dyDescent="0.25">
      <c r="B44" s="26">
        <f>B5+H5+K5+E5</f>
        <v>38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39</v>
      </c>
      <c r="I44" s="2" t="s">
        <v>46</v>
      </c>
      <c r="K44" s="13">
        <f>B10+B29+H10+K10+E10+E29+B37</f>
        <v>57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4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21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120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71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1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5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60</v>
      </c>
      <c r="H61" s="26">
        <f>B46</f>
        <v>4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600</v>
      </c>
      <c r="H63" s="21">
        <f>B47</f>
        <v>120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168</v>
      </c>
      <c r="H64" s="21">
        <f>H46</f>
        <v>21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6" sqref="C36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45651</v>
      </c>
      <c r="E1" s="95"/>
      <c r="F1" s="95"/>
      <c r="H1" s="63" t="s">
        <v>144</v>
      </c>
      <c r="I1" s="64">
        <f>Mon!D1+49-1</f>
        <v>45697</v>
      </c>
      <c r="K1" s="17" t="s">
        <v>95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>
        <v>1</v>
      </c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>
        <v>6</v>
      </c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>
        <v>5</v>
      </c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>
        <v>15</v>
      </c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29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/>
      <c r="L11" s="16" t="s">
        <v>154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152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154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/>
      <c r="F24" s="2" t="s">
        <v>2</v>
      </c>
      <c r="H24" s="17" t="s">
        <v>91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152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0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87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93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/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5</v>
      </c>
      <c r="L42" s="2" t="s">
        <v>9</v>
      </c>
    </row>
    <row r="43" spans="2:12" x14ac:dyDescent="0.25">
      <c r="B43" s="91">
        <f>E5+E13+H5+H13+K3+K16+K16</f>
        <v>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15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30</v>
      </c>
      <c r="H60" s="26">
        <f>B45</f>
        <v>2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4" sqref="J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45652</v>
      </c>
      <c r="E1" s="95"/>
      <c r="F1" s="95"/>
      <c r="G1" s="1"/>
      <c r="H1" s="63" t="s">
        <v>144</v>
      </c>
      <c r="I1" s="64">
        <f>Mon!D1+49-1</f>
        <v>45697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45</v>
      </c>
      <c r="K4" s="44">
        <v>0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0</v>
      </c>
      <c r="F5" s="2" t="s">
        <v>40</v>
      </c>
      <c r="G5">
        <f>ROUNDDOWN(H5/24,0)</f>
        <v>0</v>
      </c>
      <c r="H5" s="39">
        <v>12</v>
      </c>
      <c r="I5" s="2" t="s">
        <v>46</v>
      </c>
      <c r="K5" s="39">
        <v>0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8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3</v>
      </c>
      <c r="B8" s="39">
        <v>60</v>
      </c>
      <c r="C8" s="2" t="s">
        <v>6</v>
      </c>
      <c r="E8" s="39">
        <v>0</v>
      </c>
      <c r="F8" s="2" t="s">
        <v>9</v>
      </c>
      <c r="H8" s="39">
        <v>6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0</v>
      </c>
      <c r="F9" s="2" t="s">
        <v>7</v>
      </c>
      <c r="G9">
        <f>ROUNDDOWN(H9/24,0)</f>
        <v>0</v>
      </c>
      <c r="H9" s="39">
        <v>15</v>
      </c>
      <c r="I9" s="16" t="s">
        <v>7</v>
      </c>
      <c r="K9" s="39">
        <v>10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45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2</v>
      </c>
      <c r="C11" s="2" t="s">
        <v>8</v>
      </c>
      <c r="E11" s="39">
        <f>SUM(E4:E10)</f>
        <v>0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4872785820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36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1</v>
      </c>
      <c r="I16" s="2" t="s">
        <v>30</v>
      </c>
      <c r="K16" s="2" t="s">
        <v>36</v>
      </c>
      <c r="L16" s="16">
        <v>9392</v>
      </c>
    </row>
    <row r="17" spans="2:10" x14ac:dyDescent="0.25">
      <c r="B17" s="39">
        <v>0</v>
      </c>
      <c r="C17" s="2" t="s">
        <v>152</v>
      </c>
      <c r="H17" s="39">
        <v>1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38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78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4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45652</v>
      </c>
      <c r="E35" s="95"/>
      <c r="F35" s="95"/>
      <c r="H35" s="63" t="s">
        <v>144</v>
      </c>
      <c r="I35" s="64">
        <f>I1</f>
        <v>45697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4</v>
      </c>
      <c r="I38" s="2" t="s">
        <v>19</v>
      </c>
      <c r="K38" s="39">
        <v>1</v>
      </c>
      <c r="L38" s="2" t="s">
        <v>19</v>
      </c>
    </row>
    <row r="39" spans="1:12" x14ac:dyDescent="0.25">
      <c r="A39">
        <f>ROUNDDOWN(B39/24,0)</f>
        <v>0</v>
      </c>
      <c r="B39" s="39">
        <v>0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36</v>
      </c>
      <c r="I39" s="2" t="s">
        <v>20</v>
      </c>
      <c r="K39" s="39">
        <v>12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1</v>
      </c>
      <c r="E41" s="39">
        <v>20</v>
      </c>
      <c r="F41" s="2" t="s">
        <v>104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0</v>
      </c>
      <c r="F42" s="2" t="s">
        <v>47</v>
      </c>
      <c r="H42" s="39">
        <v>0</v>
      </c>
      <c r="I42" s="2" t="s">
        <v>23</v>
      </c>
      <c r="K42" s="39">
        <v>0</v>
      </c>
      <c r="L42" s="2" t="s">
        <v>23</v>
      </c>
    </row>
    <row r="43" spans="1:12" x14ac:dyDescent="0.25">
      <c r="B43" s="39">
        <v>7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22</v>
      </c>
      <c r="I43" s="2" t="s">
        <v>22</v>
      </c>
      <c r="K43" s="39">
        <v>9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20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4872778378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32</v>
      </c>
      <c r="I47" s="16" t="s">
        <v>28</v>
      </c>
      <c r="K47" s="39">
        <v>24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96</v>
      </c>
      <c r="I48" s="2" t="s">
        <v>35</v>
      </c>
      <c r="K48" s="39">
        <f>SUM(K38:K47)</f>
        <v>48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1</v>
      </c>
      <c r="C50" s="2" t="s">
        <v>17</v>
      </c>
      <c r="E50" s="39">
        <v>50</v>
      </c>
      <c r="F50" s="2" t="s">
        <v>29</v>
      </c>
      <c r="H50" s="2" t="s">
        <v>36</v>
      </c>
      <c r="I50" s="16">
        <v>9392</v>
      </c>
      <c r="K50" s="2" t="s">
        <v>36</v>
      </c>
      <c r="L50" s="16">
        <v>9411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50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0</v>
      </c>
      <c r="L54" t="s">
        <v>51</v>
      </c>
    </row>
    <row r="55" spans="2:12" x14ac:dyDescent="0.25">
      <c r="B55" s="39">
        <f>SUM(B38:B54)</f>
        <v>59</v>
      </c>
      <c r="C55" s="2" t="s">
        <v>35</v>
      </c>
      <c r="I55" s="4"/>
      <c r="K55" s="39">
        <v>0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>
        <v>36</v>
      </c>
      <c r="F57" s="2" t="s">
        <v>29</v>
      </c>
      <c r="I57" s="2"/>
    </row>
    <row r="58" spans="2:12" x14ac:dyDescent="0.25">
      <c r="B58" s="4"/>
      <c r="C58" s="4"/>
      <c r="D58" s="4"/>
      <c r="E58" s="39">
        <v>0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36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75</v>
      </c>
      <c r="E72" s="36">
        <f t="shared" ref="E72:E81" si="0">K4+H38+K38</f>
        <v>5</v>
      </c>
      <c r="F72" s="2" t="s">
        <v>19</v>
      </c>
      <c r="H72" s="13">
        <f>H4+E38</f>
        <v>2</v>
      </c>
      <c r="I72" s="2" t="s">
        <v>45</v>
      </c>
      <c r="K72" s="47">
        <f>B9+E8+H8+B43+E42</f>
        <v>19</v>
      </c>
      <c r="L72" s="2" t="s">
        <v>9</v>
      </c>
    </row>
    <row r="73" spans="2:12" x14ac:dyDescent="0.25">
      <c r="B73" s="26">
        <f>B5+E5+B39</f>
        <v>5</v>
      </c>
      <c r="C73" s="2" t="s">
        <v>42</v>
      </c>
      <c r="D73" s="35">
        <f t="shared" ref="D73:D79" si="1">E73*15</f>
        <v>720</v>
      </c>
      <c r="E73" s="37">
        <f t="shared" si="0"/>
        <v>48</v>
      </c>
      <c r="F73" s="2" t="s">
        <v>20</v>
      </c>
      <c r="H73" s="47">
        <f>H5+H15+E50+E39+E57</f>
        <v>134</v>
      </c>
      <c r="I73" s="2" t="s">
        <v>46</v>
      </c>
      <c r="K73" s="47">
        <f>B10+E9+H9+B44+E43</f>
        <v>44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2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28</v>
      </c>
      <c r="I75" s="2" t="s">
        <v>103</v>
      </c>
      <c r="K75" s="47">
        <f>B28+K54</f>
        <v>4</v>
      </c>
      <c r="L75" s="2" t="s">
        <v>51</v>
      </c>
    </row>
    <row r="76" spans="2:12" x14ac:dyDescent="0.25">
      <c r="B76" s="26">
        <f>B8+B42</f>
        <v>80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410</v>
      </c>
      <c r="E77" s="37">
        <f t="shared" si="0"/>
        <v>41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560</v>
      </c>
      <c r="E81" s="37">
        <f t="shared" si="0"/>
        <v>70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20</v>
      </c>
      <c r="H89" s="29">
        <f>K74</f>
        <v>2</v>
      </c>
      <c r="I89" s="2" t="s">
        <v>8</v>
      </c>
      <c r="K89" s="14">
        <f>A8+A42</f>
        <v>4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400</v>
      </c>
      <c r="H92" s="21">
        <f>B76</f>
        <v>80</v>
      </c>
      <c r="I92" s="2" t="s">
        <v>50</v>
      </c>
      <c r="K92" s="14">
        <f>G7+D41</f>
        <v>1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224</v>
      </c>
      <c r="H93" s="21">
        <f>H75</f>
        <v>28</v>
      </c>
      <c r="I93" s="2" t="s">
        <v>104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40" sqref="L4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45653</v>
      </c>
      <c r="E1" s="95"/>
      <c r="F1" s="95"/>
      <c r="H1" s="63" t="s">
        <v>144</v>
      </c>
      <c r="I1" s="64">
        <f>Mon!D1+49-1</f>
        <v>45697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  <c r="N4" s="39">
        <v>5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0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5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3</v>
      </c>
      <c r="O7" s="2" t="s">
        <v>5</v>
      </c>
    </row>
    <row r="8" spans="1:15" ht="12.75" customHeight="1" x14ac:dyDescent="0.25">
      <c r="A8">
        <f>ROUNDDOWN(B8/20,0)</f>
        <v>3</v>
      </c>
      <c r="B8" s="39">
        <v>60</v>
      </c>
      <c r="C8" s="2" t="s">
        <v>6</v>
      </c>
      <c r="D8">
        <f>ROUNDDOWN(E8/20,0)</f>
        <v>2</v>
      </c>
      <c r="E8" s="39">
        <v>40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5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0</v>
      </c>
      <c r="F9" s="2" t="s">
        <v>9</v>
      </c>
      <c r="H9" s="39">
        <v>6</v>
      </c>
      <c r="I9" s="2" t="s">
        <v>9</v>
      </c>
      <c r="K9" s="39">
        <v>5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0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5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1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79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74">
        <v>4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1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101</v>
      </c>
      <c r="C21" s="22" t="s">
        <v>35</v>
      </c>
      <c r="E21" s="39">
        <f>SUM(E4:E20)</f>
        <v>44</v>
      </c>
      <c r="F21" s="22" t="s">
        <v>35</v>
      </c>
      <c r="H21" s="39">
        <f>SUM(H4:H20)</f>
        <v>45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3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5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7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4">
        <v>20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14</v>
      </c>
      <c r="C27" s="2" t="s">
        <v>104</v>
      </c>
      <c r="D27">
        <f>ROUNDDOWN(E27/13,0)</f>
        <v>1</v>
      </c>
      <c r="E27" s="39">
        <v>15</v>
      </c>
      <c r="F27" s="2" t="s">
        <v>104</v>
      </c>
      <c r="H27" s="39">
        <f>SUM(H24:H26)</f>
        <v>7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10</v>
      </c>
      <c r="C28" s="2" t="s">
        <v>47</v>
      </c>
      <c r="E28" s="39">
        <v>6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77</v>
      </c>
      <c r="C30" s="22" t="s">
        <v>35</v>
      </c>
      <c r="E30" s="39">
        <f>SUM(E24:E29)</f>
        <v>41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52</v>
      </c>
      <c r="L31" s="87" t="s">
        <v>44</v>
      </c>
    </row>
    <row r="32" spans="1:15" ht="12.75" customHeight="1" x14ac:dyDescent="0.25">
      <c r="B32" s="2" t="s">
        <v>36</v>
      </c>
      <c r="C32" s="16">
        <v>4872780773</v>
      </c>
      <c r="E32" s="2" t="s">
        <v>36</v>
      </c>
      <c r="F32" s="13">
        <v>4872780415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0</v>
      </c>
      <c r="C35" s="2" t="s">
        <v>49</v>
      </c>
      <c r="E35" s="21">
        <v>0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0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>
        <v>0</v>
      </c>
      <c r="F38" t="s">
        <v>44</v>
      </c>
    </row>
    <row r="39" spans="2:15" ht="12.75" customHeight="1" x14ac:dyDescent="0.25">
      <c r="E39" s="13">
        <v>0</v>
      </c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7</v>
      </c>
      <c r="I44" s="2" t="s">
        <v>45</v>
      </c>
      <c r="K44" s="47">
        <f>B9+E9+B29+K9+E29+H9+N9</f>
        <v>53</v>
      </c>
      <c r="L44" s="2" t="s">
        <v>9</v>
      </c>
    </row>
    <row r="45" spans="2:15" x14ac:dyDescent="0.25">
      <c r="B45" s="26">
        <f>B5+E5+K5+H5+N5</f>
        <v>32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39</v>
      </c>
      <c r="I45" s="2" t="s">
        <v>46</v>
      </c>
      <c r="K45" s="47">
        <f>B37+B10+B28+E10+K10+H10+N10+E28</f>
        <v>47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13</v>
      </c>
      <c r="L46" s="2" t="s">
        <v>8</v>
      </c>
    </row>
    <row r="47" spans="2:15" x14ac:dyDescent="0.25">
      <c r="B47" s="26">
        <f>B7+E7+K7+H7+N7</f>
        <v>6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29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164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42</v>
      </c>
      <c r="L48" s="2" t="s">
        <v>44</v>
      </c>
    </row>
    <row r="49" spans="2:12" x14ac:dyDescent="0.25">
      <c r="B49" s="26">
        <f>B13+E13+H13</f>
        <v>2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30</v>
      </c>
      <c r="H60" s="21">
        <f>B49</f>
        <v>2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130</v>
      </c>
      <c r="H61" s="29">
        <f>K46</f>
        <v>13</v>
      </c>
      <c r="I61" s="2" t="s">
        <v>8</v>
      </c>
      <c r="K61" s="13">
        <f>A8+D8+G8</f>
        <v>6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90</v>
      </c>
      <c r="H62" s="26">
        <f>B47</f>
        <v>6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820</v>
      </c>
      <c r="H64" s="21">
        <f>B48</f>
        <v>164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232</v>
      </c>
      <c r="H65" s="21">
        <f>H47</f>
        <v>29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53</v>
      </c>
      <c r="D1" s="46"/>
      <c r="E1" s="46"/>
      <c r="F1" s="63" t="s">
        <v>144</v>
      </c>
      <c r="G1" s="64">
        <f>Mon!D1+49-1</f>
        <v>45697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tabSelected="1" view="pageLayout" zoomScale="85" zoomScaleNormal="100" zoomScalePageLayoutView="85" workbookViewId="0">
      <selection activeCell="K21" sqref="K21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52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1464</v>
      </c>
      <c r="P3" s="53">
        <f>O3/125</f>
        <v>11.712</v>
      </c>
      <c r="R3" s="51" t="s">
        <v>118</v>
      </c>
      <c r="S3" s="55">
        <f>12*(D8+J4)</f>
        <v>1464</v>
      </c>
      <c r="T3" s="55">
        <f>15*(A4+D4+G4+J7+J5)+20*D12</f>
        <v>3915</v>
      </c>
      <c r="U3" s="55">
        <f>15*(A5+A9+D5+D9+D10+D11+G5+J6+J8+J10)+20*(A8+D13+G7)</f>
        <v>24215</v>
      </c>
      <c r="V3" s="55">
        <f>15*(A6+J11)</f>
        <v>240</v>
      </c>
      <c r="W3" s="55">
        <f>15*D6</f>
        <v>0</v>
      </c>
      <c r="X3" s="55">
        <f>15*(A7+D7+G6+J9)</f>
        <v>510</v>
      </c>
    </row>
    <row r="4" spans="1:24" ht="12.75" customHeight="1" x14ac:dyDescent="0.25">
      <c r="A4" s="31">
        <f>Mon!B70+Tues!B43+Wed!B42+Thurs!B72+Fri!B44+NFLD!A43</f>
        <v>17</v>
      </c>
      <c r="B4" s="2" t="s">
        <v>41</v>
      </c>
      <c r="C4" s="7"/>
      <c r="D4" s="31">
        <f>Mon!E70+Tues!E43+Wed!E42+Thurs!E72+Fri!E44+NFLD!D43</f>
        <v>19</v>
      </c>
      <c r="E4" s="2" t="s">
        <v>19</v>
      </c>
      <c r="F4" s="7"/>
      <c r="G4" s="31">
        <f>Mon!H70+Tues!H43+Wed!H42+Thurs!H72+Fri!H44+NFLD!G43</f>
        <v>15</v>
      </c>
      <c r="H4" s="2" t="s">
        <v>45</v>
      </c>
      <c r="I4" s="7"/>
      <c r="J4" s="31">
        <f>Mon!K70+Tues!K43+Wed!K42+Thurs!K72+Fri!K44+NFLD!J43</f>
        <v>122</v>
      </c>
      <c r="K4" s="2" t="s">
        <v>9</v>
      </c>
      <c r="M4" s="42"/>
      <c r="N4" s="52" t="s">
        <v>7</v>
      </c>
      <c r="O4" s="53">
        <f>J5*10</f>
        <v>2020</v>
      </c>
      <c r="P4" s="53">
        <f>O4/130</f>
        <v>15.538461538461538</v>
      </c>
      <c r="R4" s="51" t="s">
        <v>119</v>
      </c>
      <c r="S4" s="55">
        <f t="shared" ref="S4:X4" si="0">S3/15</f>
        <v>97.6</v>
      </c>
      <c r="T4" s="55">
        <f t="shared" si="0"/>
        <v>261</v>
      </c>
      <c r="U4" s="55">
        <f t="shared" si="0"/>
        <v>1614.3333333333333</v>
      </c>
      <c r="V4" s="55">
        <f t="shared" si="0"/>
        <v>16</v>
      </c>
      <c r="W4" s="55">
        <f t="shared" si="0"/>
        <v>0</v>
      </c>
      <c r="X4" s="55">
        <f t="shared" si="0"/>
        <v>34</v>
      </c>
    </row>
    <row r="5" spans="1:24" ht="12.75" customHeight="1" x14ac:dyDescent="0.25">
      <c r="A5" s="26">
        <f>Mon!B71+Tues!B44+Wed!B43+Thurs!B73+Fri!B45+NFLD!A44</f>
        <v>105</v>
      </c>
      <c r="B5" s="2" t="s">
        <v>42</v>
      </c>
      <c r="C5" s="24"/>
      <c r="D5" s="26">
        <f>Mon!E71+Tues!E44+Wed!E43+Thurs!E73+Fri!E45+NFLD!D44</f>
        <v>97</v>
      </c>
      <c r="E5" s="2" t="s">
        <v>20</v>
      </c>
      <c r="G5" s="26">
        <f>Mon!H71+Tues!H44+Wed!H43+Thurs!H73+Fri!H45+NFLD!G44</f>
        <v>322</v>
      </c>
      <c r="H5" s="2" t="s">
        <v>46</v>
      </c>
      <c r="J5" s="26">
        <f>Mon!K71+Tues!K44+Wed!K43+Thurs!K73+Fri!K45+NFLD!J44</f>
        <v>202</v>
      </c>
      <c r="K5" s="2" t="s">
        <v>7</v>
      </c>
      <c r="M5" s="42"/>
      <c r="N5" s="52" t="s">
        <v>8</v>
      </c>
      <c r="O5" s="53">
        <f>J6*10</f>
        <v>290</v>
      </c>
      <c r="P5" s="53">
        <f t="shared" ref="P5:P25" si="1">O5/130</f>
        <v>2.2307692307692308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9</v>
      </c>
      <c r="H6" s="2" t="s">
        <v>30</v>
      </c>
      <c r="J6" s="26">
        <f>Mon!K72+Tues!K45+Wed!K44+Thurs!K74+Fri!K46+NFLD!J45</f>
        <v>29</v>
      </c>
      <c r="K6" s="2" t="s">
        <v>8</v>
      </c>
      <c r="M6" s="42"/>
      <c r="N6" s="52" t="s">
        <v>51</v>
      </c>
      <c r="O6" s="53">
        <f>J7*15</f>
        <v>120</v>
      </c>
      <c r="P6" s="53">
        <f>O6/150</f>
        <v>0.8</v>
      </c>
    </row>
    <row r="7" spans="1:24" ht="12.75" customHeight="1" x14ac:dyDescent="0.25">
      <c r="A7" s="26">
        <f>Mon!B73+Tues!B46+Wed!B45+Thurs!B75+Fri!B47+NFLD!A46</f>
        <v>15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88</v>
      </c>
      <c r="H7" s="2" t="s">
        <v>103</v>
      </c>
      <c r="J7" s="26">
        <f>Mon!K73+Tues!K46+Wed!K45+Thurs!K75+Fri!K47+NFLD!J46</f>
        <v>8</v>
      </c>
      <c r="K7" s="2" t="s">
        <v>51</v>
      </c>
      <c r="M7" s="42"/>
      <c r="N7" s="52" t="s">
        <v>44</v>
      </c>
      <c r="O7" s="53">
        <f t="shared" ref="O7" si="2">J8*15</f>
        <v>1800</v>
      </c>
      <c r="P7" s="53">
        <f t="shared" ref="P7:P8" si="3">O7/150</f>
        <v>12</v>
      </c>
      <c r="R7" s="12" t="s">
        <v>106</v>
      </c>
      <c r="S7" s="60">
        <f>Mon!C2</f>
        <v>52</v>
      </c>
    </row>
    <row r="8" spans="1:24" ht="12.75" customHeight="1" x14ac:dyDescent="0.25">
      <c r="A8" s="26">
        <f>Mon!B74+Tues!B47+Wed!B46+Thurs!B76+Fri!B48+NFLD!A47</f>
        <v>404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120</v>
      </c>
      <c r="K8" s="2" t="s">
        <v>44</v>
      </c>
      <c r="M8" s="42"/>
      <c r="N8" s="52" t="s">
        <v>2</v>
      </c>
      <c r="O8" s="53">
        <f>J9*15</f>
        <v>60</v>
      </c>
      <c r="P8" s="53">
        <f t="shared" si="3"/>
        <v>0.4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87</v>
      </c>
      <c r="E9" s="2" t="s">
        <v>22</v>
      </c>
      <c r="J9" s="26">
        <f>Mon!K75+Tues!K48+Wed!K47+Thurs!K77+Fri!K49+NFLD!J48</f>
        <v>4</v>
      </c>
      <c r="K9" s="2" t="s">
        <v>2</v>
      </c>
      <c r="M9" s="42"/>
      <c r="N9" s="52" t="s">
        <v>122</v>
      </c>
      <c r="O9" s="53">
        <f>7*(J10+J11)+8*(D12+D13+G7)+5*A9</f>
        <v>1976</v>
      </c>
      <c r="P9" s="53">
        <f>O9/140</f>
        <v>14.114285714285714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255</v>
      </c>
      <c r="P10" s="53">
        <f>O10/250</f>
        <v>1.02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9</v>
      </c>
      <c r="K11" s="2" t="s">
        <v>0</v>
      </c>
      <c r="M11" s="42"/>
      <c r="N11" s="52" t="s">
        <v>42</v>
      </c>
      <c r="O11" s="53">
        <f t="shared" ref="O11:O12" si="4">A5*15</f>
        <v>1575</v>
      </c>
      <c r="P11" s="53">
        <f t="shared" ref="P11:P13" si="5">O11/250</f>
        <v>6.3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130</v>
      </c>
      <c r="E13" s="2" t="s">
        <v>28</v>
      </c>
      <c r="M13" s="42"/>
      <c r="N13" s="52" t="s">
        <v>5</v>
      </c>
      <c r="O13" s="53">
        <f>A7*15</f>
        <v>225</v>
      </c>
      <c r="P13" s="53">
        <f t="shared" si="5"/>
        <v>0.9</v>
      </c>
      <c r="S13" s="59"/>
    </row>
    <row r="14" spans="1:24" ht="12.75" customHeight="1" x14ac:dyDescent="0.25">
      <c r="A14" s="7"/>
      <c r="N14" s="52" t="s">
        <v>127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225</v>
      </c>
      <c r="P16" s="53">
        <f t="shared" ref="P16:P18" si="6">O16/250</f>
        <v>0.9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4830</v>
      </c>
      <c r="P17" s="53">
        <f t="shared" si="6"/>
        <v>19.32</v>
      </c>
    </row>
    <row r="18" spans="1:24" ht="12.75" customHeight="1" x14ac:dyDescent="0.25">
      <c r="A18" s="26">
        <f>Mon!B86+Tues!B59+Wed!B58+Thurs!B88+Fri!B60+NFLD!A59</f>
        <v>2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135</v>
      </c>
      <c r="P18" s="53">
        <f t="shared" si="6"/>
        <v>0.54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29</v>
      </c>
      <c r="E19" s="2" t="s">
        <v>8</v>
      </c>
      <c r="F19" s="24"/>
      <c r="G19" s="14">
        <f>Mon!K87+Tues!K60+Thurs!K89+Fri!K61</f>
        <v>17</v>
      </c>
      <c r="H19" s="2" t="s">
        <v>6</v>
      </c>
      <c r="N19" s="52" t="s">
        <v>128</v>
      </c>
      <c r="O19" s="53">
        <f>8*G7</f>
        <v>704</v>
      </c>
      <c r="P19" s="53">
        <f>O19/50</f>
        <v>14.08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15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285</v>
      </c>
      <c r="P20" s="53">
        <f>O20/150</f>
        <v>1.9</v>
      </c>
    </row>
    <row r="21" spans="1:24" ht="12.75" customHeight="1" x14ac:dyDescent="0.25">
      <c r="A21" s="26">
        <f>Mon!B89+Tues!B62+Wed!B61+Thurs!B91+Fri!B63+NFLD!A62</f>
        <v>5</v>
      </c>
      <c r="B21" s="2" t="s">
        <v>12</v>
      </c>
      <c r="D21" s="21">
        <f>G6</f>
        <v>9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 t="shared" ref="O21:O23" si="8">15*D5</f>
        <v>1455</v>
      </c>
      <c r="P21" s="53">
        <f t="shared" ref="P21:P23" si="9">O21/150</f>
        <v>9.6999999999999993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404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88</v>
      </c>
      <c r="E23" s="2" t="s">
        <v>104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870</v>
      </c>
      <c r="P25" s="53">
        <f t="shared" si="1"/>
        <v>6.6923076923076925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1040</v>
      </c>
      <c r="P29" s="53">
        <f>O29/50</f>
        <v>20.8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165</v>
      </c>
      <c r="P32" s="51">
        <f>O32/25-24*(G17+G20+G23)</f>
        <v>-89.4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666</v>
      </c>
      <c r="P33" s="51">
        <f>O33/25-24*(G18+G21+G24)-20*G19</f>
        <v>-409.36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209</v>
      </c>
      <c r="P34" s="51">
        <f t="shared" ref="P34:P36" si="10">O34/25</f>
        <v>8.36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16</v>
      </c>
      <c r="P35" s="51">
        <f t="shared" si="10"/>
        <v>0.64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34</v>
      </c>
      <c r="P36" s="51">
        <f t="shared" si="10"/>
        <v>1.36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130</v>
      </c>
      <c r="P37" s="51">
        <f>O37/20</f>
        <v>6.5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36</v>
      </c>
      <c r="P38" s="51">
        <f>O38/20-13*G22</f>
        <v>-50.2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2024-12-24T13:10:46Z</cp:lastPrinted>
  <dcterms:created xsi:type="dcterms:W3CDTF">2014-06-06T13:58:10Z</dcterms:created>
  <dcterms:modified xsi:type="dcterms:W3CDTF">2024-12-27T19:29:27Z</dcterms:modified>
</cp:coreProperties>
</file>