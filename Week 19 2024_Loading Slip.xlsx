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46F54772-0423-4827-86F2-FD85D6D37E26}" xr6:coauthVersionLast="47" xr6:coauthVersionMax="47" xr10:uidLastSave="{00000000-0000-0000-0000-000000000000}"/>
  <bookViews>
    <workbookView xWindow="-120" yWindow="-120" windowWidth="29040" windowHeight="1551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H34" i="4" l="1"/>
  <c r="C1" i="4"/>
  <c r="G1" i="11" s="1"/>
  <c r="S7" i="12"/>
  <c r="H1" i="4" l="1"/>
  <c r="H1" i="7"/>
  <c r="H1" i="10"/>
  <c r="H1" i="8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7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2" i="10"/>
  <c r="F62" i="10" s="1"/>
  <c r="G75" i="8"/>
  <c r="G93" i="8" s="1"/>
  <c r="F93" i="8" s="1"/>
  <c r="G46" i="7"/>
  <c r="G64" i="7" s="1"/>
  <c r="F64" i="7" s="1"/>
  <c r="G73" i="4"/>
  <c r="G91" i="4" s="1"/>
  <c r="F91" i="4" s="1"/>
  <c r="J78" i="8"/>
  <c r="G43" i="10"/>
  <c r="G60" i="10" s="1"/>
  <c r="F60" i="10" s="1"/>
  <c r="G42" i="10"/>
  <c r="G41" i="10"/>
  <c r="D32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3" i="8"/>
  <c r="G72" i="8"/>
  <c r="D81" i="8"/>
  <c r="C81" i="8" s="1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7" i="10"/>
  <c r="F57" i="10" s="1"/>
  <c r="G58" i="10"/>
  <c r="F58" i="10" s="1"/>
  <c r="J48" i="10"/>
  <c r="J46" i="10"/>
  <c r="J45" i="10"/>
  <c r="J44" i="10"/>
  <c r="J42" i="10"/>
  <c r="J41" i="10"/>
  <c r="G56" i="10"/>
  <c r="F56" i="10" s="1"/>
  <c r="A59" i="10"/>
  <c r="A60" i="10"/>
  <c r="A45" i="10"/>
  <c r="G61" i="10" s="1"/>
  <c r="F61" i="10" s="1"/>
  <c r="A44" i="10"/>
  <c r="G59" i="10" s="1"/>
  <c r="F59" i="10" s="1"/>
  <c r="A42" i="10"/>
  <c r="A41" i="10"/>
  <c r="C52" i="9"/>
  <c r="C51" i="9"/>
  <c r="C50" i="9"/>
  <c r="C49" i="9"/>
  <c r="C48" i="9"/>
  <c r="C47" i="9"/>
  <c r="C46" i="9"/>
  <c r="C45" i="9"/>
  <c r="C44" i="9"/>
  <c r="C43" i="9"/>
  <c r="C50" i="10"/>
  <c r="C49" i="10"/>
  <c r="C48" i="10"/>
  <c r="C47" i="10"/>
  <c r="C46" i="10"/>
  <c r="C45" i="10"/>
  <c r="C44" i="10"/>
  <c r="C43" i="10"/>
  <c r="C42" i="10"/>
  <c r="C41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0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7" i="10"/>
  <c r="J32" i="10"/>
  <c r="J23" i="10"/>
  <c r="J18" i="10"/>
  <c r="J12" i="10"/>
  <c r="G28" i="10"/>
  <c r="G22" i="10"/>
  <c r="G8" i="10"/>
  <c r="D26" i="10"/>
  <c r="D16" i="10"/>
  <c r="D6" i="10"/>
  <c r="A35" i="10"/>
  <c r="A15" i="10"/>
  <c r="M13" i="9"/>
  <c r="D39" i="9"/>
  <c r="M33" i="9"/>
  <c r="A38" i="9"/>
  <c r="J35" i="9"/>
  <c r="A7" i="9"/>
  <c r="G29" i="9"/>
  <c r="J25" i="9"/>
  <c r="A28" i="9"/>
  <c r="D19" i="9"/>
  <c r="G23" i="9"/>
  <c r="D10" i="9"/>
  <c r="G14" i="8"/>
  <c r="D14" i="8"/>
  <c r="A21" i="8"/>
  <c r="J7" i="8"/>
  <c r="D23" i="8"/>
  <c r="D57" i="8"/>
  <c r="A55" i="8"/>
  <c r="G51" i="8"/>
  <c r="J48" i="8"/>
  <c r="D48" i="8"/>
  <c r="G41" i="8"/>
  <c r="J28" i="7"/>
  <c r="J19" i="7"/>
  <c r="G17" i="7"/>
  <c r="G24" i="7"/>
  <c r="J33" i="7"/>
  <c r="D37" i="7"/>
  <c r="D21" i="4"/>
  <c r="D10" i="7"/>
  <c r="A34" i="7"/>
  <c r="A7" i="7"/>
  <c r="A28" i="7"/>
  <c r="G15" i="4"/>
  <c r="J12" i="4"/>
  <c r="D12" i="4"/>
  <c r="A32" i="4"/>
  <c r="J47" i="4"/>
  <c r="G40" i="4"/>
  <c r="D56" i="4"/>
  <c r="D47" i="4"/>
  <c r="A54" i="4"/>
  <c r="A17" i="12" l="1"/>
  <c r="G19" i="12"/>
  <c r="A23" i="12"/>
  <c r="J9" i="12"/>
  <c r="O8" i="12" s="1"/>
  <c r="P8" i="12" s="1"/>
  <c r="J7" i="12"/>
  <c r="O6" i="12" s="1"/>
  <c r="P6" i="12" s="1"/>
  <c r="G18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<sst xmlns="http://schemas.openxmlformats.org/spreadsheetml/2006/main" count="1124" uniqueCount="192">
  <si>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</si>
  <si>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</si>
  <si>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</si>
  <si>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</si>
  <si>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</si>
  <si>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</si>
  <si>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</si>
  <si>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</si>
  <si>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</si>
  <si>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</si>
  <si>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</si>
  <si>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</si>
  <si>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</si>
  <si>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</si>
  <si>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</si>
  <si>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</si>
  <si>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</si>
  <si>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</si>
  <si>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</si>
  <si>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</si>
  <si>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</si>
  <si>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</si>
  <si>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</si>
  <si>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</si>
  <si>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</si>
  <si>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</si>
  <si>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</si>
  <si>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</si>
  <si>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</si>
  <si>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</si>
  <si>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</si>
  <si>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</si>
  <si>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</si>
  <si>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</si>
  <si>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</si>
  <si>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</si>
  <si>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</si>
  <si>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</si>
  <si>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</si>
  <si>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</si>
  <si>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</si>
  <si>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</si>
  <si>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</si>
  <si>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</si>
  <si>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</si>
  <si>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</si>
  <si>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</si>
  <si>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</si>
  <si>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</si>
  <si>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</si>
  <si>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</si>
  <si>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</si>
  <si>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</si>
  <si>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</si>
  <si>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</si>
  <si>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</si>
  <si>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</si>
  <si>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</si>
  <si>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</si>
  <si>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Pharmasaves Total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</si>
  <si>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</si>
  <si>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</si>
  <si>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</si>
  <si>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</si>
  <si>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</si>
  <si>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</si>
  <si>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</si>
  <si>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</si>
  <si>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</si>
  <si>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</si>
  <si>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</si>
  <si>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</si>
  <si>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</si>
  <si>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</si>
  <si>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</si>
  <si>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</si>
  <si>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</si>
  <si>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</si>
  <si>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</si>
  <si>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</si>
  <si>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</si>
  <si>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</si>
  <si>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</si>
  <si>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</si>
  <si>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</si>
  <si>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</si>
  <si>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</si>
  <si>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</si>
  <si>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</si>
  <si>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</si>
  <si>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</si>
  <si>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</si>
  <si>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</si>
  <si>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</si>
  <si>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</si>
  <si>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</si>
  <si>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</si>
  <si>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</si>
  <si>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</si>
  <si>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</si>
  <si>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</si>
  <si>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</si>
  <si>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</si>
  <si>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</si>
  <si>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</si>
  <si>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</si>
  <si>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</si>
  <si>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</si>
  <si>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</si>
  <si>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</si>
  <si>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</si>
  <si>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</si>
  <si>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</si>
  <si>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</si>
  <si>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</si>
  <si>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</si>
  <si>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</si>
  <si>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</si>
  <si>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</si>
  <si>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</si>
  <si>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</si>
  <si>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</si>
  <si>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</si>
  <si>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</si>
  <si>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</si>
  <si>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</si>
  <si>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Log Lg</t>
  </si>
  <si>
    <t>2. Nala's</t>
  </si>
  <si>
    <t>3. Foodland - Sydney Mines</t>
  </si>
  <si>
    <t>4. Superstore - North Sydney</t>
  </si>
  <si>
    <t>5. WalMart - North Sydney</t>
  </si>
  <si>
    <t>6. Shoppers - North Sydney</t>
  </si>
  <si>
    <t>7. Sobeys - Syd. River</t>
  </si>
  <si>
    <t>8. WalMart - Syd. River</t>
  </si>
  <si>
    <t>9. Shoppers - Syd. River</t>
  </si>
  <si>
    <t>11.Colbourne - No Frills</t>
  </si>
  <si>
    <t>12. WalMart - Spar Rd.</t>
  </si>
  <si>
    <t>13. Not Just Cakes</t>
  </si>
  <si>
    <t>14. Janes</t>
  </si>
  <si>
    <t>15. Bras D'or View</t>
  </si>
  <si>
    <t>3. Mira Ferry Market</t>
  </si>
  <si>
    <t>15. Sobeys - Glace Bay</t>
  </si>
  <si>
    <t>17. Eskasoni</t>
  </si>
  <si>
    <t>18. Meadows Pharm</t>
  </si>
  <si>
    <t>Lob 30</t>
  </si>
  <si>
    <t>Lob 30 Lg</t>
  </si>
  <si>
    <t>16.Superstore - Glace Bay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</si>
  <si>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</si>
  <si>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</si>
  <si>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</si>
  <si>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</si>
  <si>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</si>
  <si>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</si>
  <si>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</si>
  <si>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</si>
  <si>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</si>
  <si>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</si>
  <si>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</si>
  <si>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</si>
  <si>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</si>
  <si>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</si>
  <si>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</si>
  <si>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</si>
  <si>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</si>
  <si>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</si>
  <si>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</si>
  <si>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</si>
  <si>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</si>
  <si>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</si>
  <si>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</si>
  <si>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</si>
  <si>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</si>
  <si>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</si>
  <si>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</si>
  <si>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</si>
  <si>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</si>
  <si>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</si>
  <si>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</si>
  <si>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</si>
  <si>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</si>
  <si>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</si>
  <si>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</si>
  <si>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</si>
  <si>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</si>
  <si>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</si>
  <si>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</si>
  <si>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</si>
  <si>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Lg Eyk</t>
  </si>
  <si>
    <t>10. Shoppers - Prince</t>
  </si>
  <si>
    <t>Eyk Brn</t>
  </si>
  <si>
    <t>Holy Redeemer</t>
  </si>
  <si>
    <t xml:space="preserve">1 Lg Loose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</si>
</sst>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0" xfId="0" applyNumberFormat="1" applyFont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1" fontId="12" fillId="2" borderId="3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G24" sqref="G24"/>
    </sheetView>
  </sheetViews>
  <sheetFormatPr defaultRowHeight="15" x14ac:dyDescent="0.25"/>
  <cols>
    <col min="1" max="1" width="6.42578125" customWidth="1"/>
    <col min="2" max="2" width="19.5703125" customWidth="1"/>
    <col min="3" max="3" width="5.140625" customWidth="1"/>
    <col min="4" max="4" width="5" customWidth="1"/>
    <col min="5" max="5" width="21.7109375" customWidth="1"/>
    <col min="6" max="6" width="4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68" t="s">
        <v>149</v>
      </c>
      <c r="B1" s="68"/>
      <c r="C1" s="67">
        <f>DATE(2024,1,1)+(B2-1)*7</f>
        <v>45418</v>
      </c>
      <c r="D1" s="68"/>
      <c r="E1" s="68"/>
      <c r="G1" s="64" t="s">
        <v>186</v>
      </c>
      <c r="H1" s="66">
        <f>C1+42-1</f>
        <v>45459</v>
      </c>
      <c r="K1" s="19" t="s">
        <v>38</v>
      </c>
    </row>
    <row r="2" spans="1:11" ht="15.75" x14ac:dyDescent="0.25">
      <c r="A2" s="42" t="s">
        <v>148</v>
      </c>
      <c r="B2" s="51">
        <v>19</v>
      </c>
    </row>
    <row r="4" spans="1:11" ht="15.75" thickBot="1" x14ac:dyDescent="0.3">
      <c r="A4" s="17" t="s">
        <v>87</v>
      </c>
      <c r="B4" s="5"/>
      <c r="D4" s="20" t="s">
        <v>43</v>
      </c>
      <c r="E4" s="5"/>
      <c r="G4" s="20" t="s">
        <v>49</v>
      </c>
      <c r="H4" s="5"/>
      <c r="J4" s="17" t="s">
        <v>51</v>
      </c>
      <c r="K4" s="5"/>
    </row>
    <row r="5" spans="1:11" x14ac:dyDescent="0.25">
      <c r="A5" s="40">
        <v>3</v>
      </c>
      <c r="B5" t="s">
        <v>1</v>
      </c>
      <c r="D5" s="40">
        <v>0</v>
      </c>
      <c r="E5" s="2" t="s">
        <v>3</v>
      </c>
      <c r="G5" s="40">
        <v>0</v>
      </c>
      <c r="H5" s="2" t="s">
        <v>19</v>
      </c>
      <c r="J5" s="40">
        <v>11</v>
      </c>
      <c r="K5" t="s">
        <v>1</v>
      </c>
    </row>
    <row r="6" spans="1:11" x14ac:dyDescent="0.25">
      <c r="D6" s="40">
        <v>0</v>
      </c>
      <c r="E6" s="2" t="s">
        <v>40</v>
      </c>
      <c r="G6" s="40">
        <v>4</v>
      </c>
      <c r="H6" s="2" t="s">
        <v>20</v>
      </c>
    </row>
    <row r="7" spans="1:11" ht="15.75" thickBot="1" x14ac:dyDescent="0.3">
      <c r="A7" s="17" t="s">
        <v>88</v>
      </c>
      <c r="B7" s="5"/>
      <c r="D7" s="40">
        <v>0</v>
      </c>
      <c r="E7" s="2" t="s">
        <v>4</v>
      </c>
      <c r="G7" s="40">
        <v>0</v>
      </c>
      <c r="H7" s="2" t="s">
        <v>27</v>
      </c>
    </row>
    <row r="8" spans="1:11" ht="15.75" thickBot="1" x14ac:dyDescent="0.3">
      <c r="A8" s="40">
        <v>4</v>
      </c>
      <c r="B8" t="s">
        <v>1</v>
      </c>
      <c r="D8" s="40">
        <v>0</v>
      </c>
      <c r="E8" s="2" t="s">
        <v>5</v>
      </c>
      <c r="G8" s="40">
        <v>0</v>
      </c>
      <c r="H8" s="2" t="s">
        <v>21</v>
      </c>
      <c r="J8" s="17" t="s">
        <v>50</v>
      </c>
      <c r="K8" s="17"/>
    </row>
    <row r="9" spans="1:11" x14ac:dyDescent="0.25">
      <c r="D9" s="40">
        <v>0</v>
      </c>
      <c r="E9" s="2" t="s">
        <v>9</v>
      </c>
      <c r="G9" s="40">
        <v>0</v>
      </c>
      <c r="H9" s="2" t="s">
        <v>23</v>
      </c>
      <c r="J9" s="40">
        <v>24</v>
      </c>
      <c r="K9" s="2" t="s">
        <v>29</v>
      </c>
    </row>
    <row r="10" spans="1:11" ht="15.75" thickBot="1" x14ac:dyDescent="0.3">
      <c r="A10" s="17" t="s">
        <v>89</v>
      </c>
      <c r="B10" s="5"/>
      <c r="D10" s="40">
        <v>0</v>
      </c>
      <c r="E10" s="2" t="s">
        <v>7</v>
      </c>
      <c r="G10" s="40">
        <v>6</v>
      </c>
      <c r="H10" s="2" t="s">
        <v>22</v>
      </c>
      <c r="J10" s="40">
        <v>0</v>
      </c>
      <c r="K10" s="2" t="s">
        <v>30</v>
      </c>
    </row>
    <row r="11" spans="1:11" x14ac:dyDescent="0.25">
      <c r="A11" s="40">
        <v>3</v>
      </c>
      <c r="B11" t="s">
        <v>0</v>
      </c>
      <c r="D11" s="40">
        <v>0</v>
      </c>
      <c r="E11" s="16" t="s">
        <v>8</v>
      </c>
      <c r="G11" s="40">
        <v>0</v>
      </c>
      <c r="H11" s="2" t="s">
        <v>24</v>
      </c>
      <c r="J11" s="40">
        <v>0</v>
      </c>
      <c r="K11" s="16" t="s">
        <v>12</v>
      </c>
    </row>
    <row r="12" spans="1:11" x14ac:dyDescent="0.25">
      <c r="D12" s="40">
        <f>SUM(D5:D11)</f>
        <v>0</v>
      </c>
      <c r="E12" s="2" t="s">
        <v>35</v>
      </c>
      <c r="G12" s="40">
        <v>0</v>
      </c>
      <c r="H12" s="2" t="s">
        <v>25</v>
      </c>
      <c r="J12" s="40">
        <f>SUM(J9:J11)</f>
        <v>24</v>
      </c>
      <c r="K12" s="2" t="s">
        <v>35</v>
      </c>
    </row>
    <row r="13" spans="1:11" x14ac:dyDescent="0.25">
      <c r="E13" s="2"/>
      <c r="G13" s="40">
        <v>3</v>
      </c>
      <c r="H13" s="2" t="s">
        <v>26</v>
      </c>
    </row>
    <row r="14" spans="1:11" ht="15.75" thickBot="1" x14ac:dyDescent="0.3">
      <c r="A14" s="17" t="s">
        <v>90</v>
      </c>
      <c r="B14" s="17"/>
      <c r="D14" s="20" t="s">
        <v>48</v>
      </c>
      <c r="E14" s="5"/>
      <c r="G14" s="40">
        <v>3</v>
      </c>
      <c r="H14" s="16" t="s">
        <v>28</v>
      </c>
    </row>
    <row r="15" spans="1:11" ht="15.75" thickBot="1" x14ac:dyDescent="0.3">
      <c r="A15" s="40">
        <v>0</v>
      </c>
      <c r="B15" s="2" t="s">
        <v>41</v>
      </c>
      <c r="D15" s="40">
        <v>0</v>
      </c>
      <c r="E15" s="2" t="s">
        <v>45</v>
      </c>
      <c r="G15" s="40">
        <f>SUM(G5:G14)</f>
        <v>16</v>
      </c>
      <c r="H15" s="2" t="s">
        <v>35</v>
      </c>
      <c r="J15" s="17" t="s">
        <v>97</v>
      </c>
      <c r="K15" s="5"/>
    </row>
    <row r="16" spans="1:11" x14ac:dyDescent="0.25">
      <c r="A16" s="40">
        <v>0</v>
      </c>
      <c r="B16" s="2" t="s">
        <v>42</v>
      </c>
      <c r="D16" s="40">
        <v>72</v>
      </c>
      <c r="E16" s="2" t="s">
        <v>46</v>
      </c>
      <c r="F16" s="3"/>
      <c r="H16" s="2"/>
      <c r="J16" s="40">
        <v>3</v>
      </c>
      <c r="K16" t="s">
        <v>44</v>
      </c>
    </row>
    <row r="17" spans="1:9" x14ac:dyDescent="0.25">
      <c r="A17" s="40">
        <v>1</v>
      </c>
      <c r="B17" s="2" t="s">
        <v>4</v>
      </c>
      <c r="D17" s="40">
        <v>0</v>
      </c>
      <c r="E17" s="2" t="s">
        <v>30</v>
      </c>
      <c r="G17" s="2" t="s">
        <v>36</v>
      </c>
      <c r="H17" s="16"/>
    </row>
    <row r="18" spans="1:9" x14ac:dyDescent="0.25">
      <c r="A18" s="40">
        <v>0</v>
      </c>
      <c r="B18" s="2" t="s">
        <v>5</v>
      </c>
      <c r="D18" s="40">
        <v>3</v>
      </c>
      <c r="E18" s="2" t="s">
        <v>145</v>
      </c>
    </row>
    <row r="19" spans="1:9" x14ac:dyDescent="0.25">
      <c r="A19" s="40">
        <v>20</v>
      </c>
      <c r="B19" s="2" t="s">
        <v>6</v>
      </c>
      <c r="D19" s="40">
        <v>4</v>
      </c>
      <c r="E19" s="2" t="s">
        <v>47</v>
      </c>
      <c r="I19" s="4"/>
    </row>
    <row r="20" spans="1:9" x14ac:dyDescent="0.25">
      <c r="A20" s="40">
        <v>6</v>
      </c>
      <c r="B20" s="2" t="s">
        <v>9</v>
      </c>
      <c r="D20" s="40">
        <v>15</v>
      </c>
      <c r="E20" s="16" t="s">
        <v>7</v>
      </c>
      <c r="I20" s="4"/>
    </row>
    <row r="21" spans="1:9" x14ac:dyDescent="0.25">
      <c r="A21" s="40">
        <v>7</v>
      </c>
      <c r="B21" s="2" t="s">
        <v>7</v>
      </c>
      <c r="D21" s="40">
        <f>SUM(D15:D20)</f>
        <v>94</v>
      </c>
      <c r="E21" s="2" t="s">
        <v>35</v>
      </c>
      <c r="I21" s="2"/>
    </row>
    <row r="22" spans="1:9" x14ac:dyDescent="0.25">
      <c r="A22" s="40">
        <v>0</v>
      </c>
      <c r="B22" s="2" t="s">
        <v>8</v>
      </c>
      <c r="I22" s="2"/>
    </row>
    <row r="23" spans="1:9" x14ac:dyDescent="0.25">
      <c r="A23" s="40">
        <v>0</v>
      </c>
      <c r="B23" s="2" t="s">
        <v>44</v>
      </c>
      <c r="D23" s="2" t="s">
        <v>36</v>
      </c>
      <c r="E23" s="16"/>
      <c r="I23" s="2"/>
    </row>
    <row r="24" spans="1:9" x14ac:dyDescent="0.25">
      <c r="A24" s="40">
        <v>2</v>
      </c>
      <c r="B24" s="2" t="s">
        <v>15</v>
      </c>
    </row>
    <row r="25" spans="1:9" x14ac:dyDescent="0.25">
      <c r="A25" s="40">
        <v>1</v>
      </c>
      <c r="B25" s="2" t="s">
        <v>14</v>
      </c>
      <c r="C25" s="4"/>
      <c r="I25" s="6"/>
    </row>
    <row r="26" spans="1:9" x14ac:dyDescent="0.25">
      <c r="A26" s="40">
        <v>0</v>
      </c>
      <c r="B26" s="2" t="s">
        <v>16</v>
      </c>
      <c r="C26" s="4"/>
      <c r="F26" s="4"/>
      <c r="I26" s="2"/>
    </row>
    <row r="27" spans="1:9" x14ac:dyDescent="0.25">
      <c r="A27" s="40">
        <v>1</v>
      </c>
      <c r="B27" s="2" t="s">
        <v>17</v>
      </c>
      <c r="C27" s="9"/>
      <c r="E27" s="4"/>
      <c r="I27" s="2"/>
    </row>
    <row r="28" spans="1:9" x14ac:dyDescent="0.25">
      <c r="A28" s="40">
        <v>0</v>
      </c>
      <c r="B28" s="2" t="s">
        <v>11</v>
      </c>
      <c r="C28" s="10"/>
      <c r="D28" s="2"/>
      <c r="I28" s="2"/>
    </row>
    <row r="29" spans="1:9" x14ac:dyDescent="0.25">
      <c r="A29" s="40">
        <v>0</v>
      </c>
      <c r="B29" s="2" t="s">
        <v>12</v>
      </c>
      <c r="C29" s="10"/>
      <c r="I29" s="2"/>
    </row>
    <row r="30" spans="1:9" x14ac:dyDescent="0.25">
      <c r="A30" s="40">
        <v>0</v>
      </c>
      <c r="B30" s="2" t="s">
        <v>13</v>
      </c>
    </row>
    <row r="31" spans="1:9" x14ac:dyDescent="0.25">
      <c r="A31" s="40">
        <v>0</v>
      </c>
      <c r="B31" s="16" t="s">
        <v>18</v>
      </c>
    </row>
    <row r="32" spans="1:9" x14ac:dyDescent="0.25">
      <c r="A32" s="40">
        <f>SUM(A15:A31)</f>
        <v>38</v>
      </c>
      <c r="B32" s="2" t="s">
        <v>35</v>
      </c>
    </row>
    <row r="33" spans="1:11" ht="15.75" thickBot="1" x14ac:dyDescent="0.3"/>
    <row r="34" spans="1:11" ht="21.75" thickBot="1" x14ac:dyDescent="0.4">
      <c r="A34" s="68" t="s">
        <v>149</v>
      </c>
      <c r="B34" s="68"/>
      <c r="C34" s="67">
        <f>C1</f>
        <v>45418</v>
      </c>
      <c r="D34" s="68"/>
      <c r="E34" s="68"/>
      <c r="G34" s="64" t="s">
        <v>186</v>
      </c>
      <c r="H34" s="66">
        <f>H1</f>
        <v>45459</v>
      </c>
      <c r="K34" s="19" t="s">
        <v>37</v>
      </c>
    </row>
    <row r="36" spans="1:11" ht="15.75" thickBot="1" x14ac:dyDescent="0.3">
      <c r="A36" s="17" t="s">
        <v>91</v>
      </c>
      <c r="B36" s="17"/>
      <c r="D36" s="17" t="s">
        <v>92</v>
      </c>
      <c r="E36" s="17"/>
      <c r="G36" s="17" t="s">
        <v>94</v>
      </c>
      <c r="H36" s="17"/>
      <c r="J36" s="18" t="s">
        <v>96</v>
      </c>
      <c r="K36" s="5"/>
    </row>
    <row r="37" spans="1:11" x14ac:dyDescent="0.25">
      <c r="A37" s="40">
        <v>1</v>
      </c>
      <c r="B37" s="2" t="s">
        <v>41</v>
      </c>
      <c r="D37" s="40">
        <v>6</v>
      </c>
      <c r="E37" s="2" t="s">
        <v>19</v>
      </c>
      <c r="G37" s="40">
        <v>20</v>
      </c>
      <c r="H37" s="2" t="s">
        <v>29</v>
      </c>
      <c r="J37" s="40">
        <v>10</v>
      </c>
      <c r="K37" s="2" t="s">
        <v>19</v>
      </c>
    </row>
    <row r="38" spans="1:11" x14ac:dyDescent="0.25">
      <c r="A38" s="40">
        <v>6</v>
      </c>
      <c r="B38" s="2" t="s">
        <v>42</v>
      </c>
      <c r="D38" s="40">
        <v>12</v>
      </c>
      <c r="E38" s="2" t="s">
        <v>20</v>
      </c>
      <c r="G38" s="40">
        <v>0</v>
      </c>
      <c r="H38" s="2" t="s">
        <v>30</v>
      </c>
      <c r="J38" s="40">
        <v>15</v>
      </c>
      <c r="K38" s="2" t="s">
        <v>20</v>
      </c>
    </row>
    <row r="39" spans="1:11" x14ac:dyDescent="0.25">
      <c r="A39" s="40">
        <v>1</v>
      </c>
      <c r="B39" s="2" t="s">
        <v>4</v>
      </c>
      <c r="D39" s="40">
        <v>3</v>
      </c>
      <c r="E39" s="2" t="s">
        <v>27</v>
      </c>
      <c r="G39" s="40">
        <v>0</v>
      </c>
      <c r="H39" s="16" t="s">
        <v>12</v>
      </c>
      <c r="J39" s="40">
        <v>0</v>
      </c>
      <c r="K39" s="2" t="s">
        <v>27</v>
      </c>
    </row>
    <row r="40" spans="1:11" x14ac:dyDescent="0.25">
      <c r="A40" s="40">
        <v>0</v>
      </c>
      <c r="B40" s="2" t="s">
        <v>5</v>
      </c>
      <c r="D40" s="40">
        <v>3</v>
      </c>
      <c r="E40" s="2" t="s">
        <v>21</v>
      </c>
      <c r="G40" s="40">
        <f>SUM(G37:G39)</f>
        <v>20</v>
      </c>
      <c r="H40" s="2" t="s">
        <v>35</v>
      </c>
      <c r="J40" s="40">
        <v>1</v>
      </c>
      <c r="K40" s="2" t="s">
        <v>21</v>
      </c>
    </row>
    <row r="41" spans="1:11" x14ac:dyDescent="0.25">
      <c r="A41" s="40">
        <v>8</v>
      </c>
      <c r="B41" s="2" t="s">
        <v>6</v>
      </c>
      <c r="D41" s="40">
        <v>3</v>
      </c>
      <c r="E41" s="2" t="s">
        <v>23</v>
      </c>
      <c r="J41" s="40">
        <v>1</v>
      </c>
      <c r="K41" s="2" t="s">
        <v>23</v>
      </c>
    </row>
    <row r="42" spans="1:11" x14ac:dyDescent="0.25">
      <c r="A42" s="40">
        <v>3</v>
      </c>
      <c r="B42" s="2" t="s">
        <v>9</v>
      </c>
      <c r="D42" s="40">
        <v>12</v>
      </c>
      <c r="E42" s="2" t="s">
        <v>22</v>
      </c>
      <c r="J42" s="40">
        <v>15</v>
      </c>
      <c r="K42" s="2" t="s">
        <v>22</v>
      </c>
    </row>
    <row r="43" spans="1:11" ht="15.75" thickBot="1" x14ac:dyDescent="0.3">
      <c r="A43" s="40">
        <v>12</v>
      </c>
      <c r="B43" s="2" t="s">
        <v>7</v>
      </c>
      <c r="D43" s="40">
        <v>3</v>
      </c>
      <c r="E43" s="2" t="s">
        <v>24</v>
      </c>
      <c r="G43" s="17" t="s">
        <v>95</v>
      </c>
      <c r="H43" s="17"/>
      <c r="J43" s="40">
        <v>1</v>
      </c>
      <c r="K43" s="2" t="s">
        <v>24</v>
      </c>
    </row>
    <row r="44" spans="1:11" x14ac:dyDescent="0.25">
      <c r="A44" s="40">
        <v>0</v>
      </c>
      <c r="B44" s="2" t="s">
        <v>8</v>
      </c>
      <c r="D44" s="40">
        <v>0</v>
      </c>
      <c r="E44" s="2" t="s">
        <v>25</v>
      </c>
      <c r="G44" s="40">
        <v>0</v>
      </c>
      <c r="H44" s="2" t="s">
        <v>32</v>
      </c>
      <c r="J44" s="40">
        <v>1</v>
      </c>
      <c r="K44" s="2" t="s">
        <v>25</v>
      </c>
    </row>
    <row r="45" spans="1:11" x14ac:dyDescent="0.25">
      <c r="A45" s="40">
        <v>4</v>
      </c>
      <c r="B45" s="2" t="s">
        <v>44</v>
      </c>
      <c r="D45" s="40">
        <v>0</v>
      </c>
      <c r="E45" s="2" t="s">
        <v>26</v>
      </c>
      <c r="G45" s="40">
        <v>24</v>
      </c>
      <c r="H45" s="2" t="s">
        <v>31</v>
      </c>
      <c r="J45" s="40">
        <v>0</v>
      </c>
      <c r="K45" s="2" t="s">
        <v>26</v>
      </c>
    </row>
    <row r="46" spans="1:11" x14ac:dyDescent="0.25">
      <c r="A46" s="40">
        <v>0</v>
      </c>
      <c r="B46" s="2" t="s">
        <v>15</v>
      </c>
      <c r="D46" s="40">
        <v>6</v>
      </c>
      <c r="E46" s="16" t="s">
        <v>28</v>
      </c>
      <c r="G46" s="40">
        <v>0</v>
      </c>
      <c r="H46" s="2" t="s">
        <v>33</v>
      </c>
      <c r="J46" s="40">
        <v>30</v>
      </c>
      <c r="K46" s="16" t="s">
        <v>28</v>
      </c>
    </row>
    <row r="47" spans="1:11" x14ac:dyDescent="0.25">
      <c r="A47" s="40">
        <v>2</v>
      </c>
      <c r="B47" s="2" t="s">
        <v>14</v>
      </c>
      <c r="D47" s="40">
        <f>SUM(D37:D46)</f>
        <v>48</v>
      </c>
      <c r="E47" s="2" t="s">
        <v>35</v>
      </c>
      <c r="G47" s="40">
        <v>10</v>
      </c>
      <c r="H47" s="2" t="s">
        <v>145</v>
      </c>
      <c r="J47" s="40">
        <f>SUM(J37:J46)</f>
        <v>74</v>
      </c>
      <c r="K47" s="2" t="s">
        <v>35</v>
      </c>
    </row>
    <row r="48" spans="1:11" x14ac:dyDescent="0.25">
      <c r="A48" s="40">
        <v>2</v>
      </c>
      <c r="B48" s="2" t="s">
        <v>16</v>
      </c>
      <c r="E48" s="2"/>
      <c r="G48" s="40">
        <v>3</v>
      </c>
      <c r="H48" s="2" t="s">
        <v>9</v>
      </c>
      <c r="K48" s="2"/>
    </row>
    <row r="49" spans="1:11" x14ac:dyDescent="0.25">
      <c r="A49" s="40">
        <v>0</v>
      </c>
      <c r="B49" s="2" t="s">
        <v>17</v>
      </c>
      <c r="D49" s="2" t="s">
        <v>36</v>
      </c>
      <c r="E49" s="16"/>
      <c r="G49" s="40">
        <v>24</v>
      </c>
      <c r="H49" s="16" t="s">
        <v>34</v>
      </c>
      <c r="J49" s="2" t="s">
        <v>36</v>
      </c>
      <c r="K49" s="16"/>
    </row>
    <row r="50" spans="1:11" x14ac:dyDescent="0.25">
      <c r="A50" s="40">
        <v>0</v>
      </c>
      <c r="B50" s="2" t="s">
        <v>11</v>
      </c>
      <c r="F50" s="2"/>
      <c r="G50" s="40">
        <f>SUM(G44:G49)</f>
        <v>61</v>
      </c>
      <c r="H50" s="2" t="s">
        <v>35</v>
      </c>
    </row>
    <row r="51" spans="1:11" x14ac:dyDescent="0.25">
      <c r="A51" s="40">
        <v>0</v>
      </c>
      <c r="B51" s="2" t="s">
        <v>12</v>
      </c>
    </row>
    <row r="52" spans="1:11" ht="15.75" thickBot="1" x14ac:dyDescent="0.3">
      <c r="A52" s="40">
        <v>0</v>
      </c>
      <c r="B52" s="2" t="s">
        <v>13</v>
      </c>
      <c r="D52" s="17" t="s">
        <v>93</v>
      </c>
      <c r="E52" s="17"/>
      <c r="G52" s="2" t="s">
        <v>36</v>
      </c>
      <c r="H52" s="16"/>
    </row>
    <row r="53" spans="1:11" x14ac:dyDescent="0.25">
      <c r="A53" s="40">
        <v>0</v>
      </c>
      <c r="B53" s="16" t="s">
        <v>18</v>
      </c>
      <c r="D53" s="40">
        <v>24</v>
      </c>
      <c r="E53" s="2" t="s">
        <v>29</v>
      </c>
      <c r="H53" s="4"/>
    </row>
    <row r="54" spans="1:11" x14ac:dyDescent="0.25">
      <c r="A54" s="40">
        <f>SUM(A37:A53)</f>
        <v>39</v>
      </c>
      <c r="B54" s="2" t="s">
        <v>35</v>
      </c>
      <c r="D54" s="40">
        <v>1</v>
      </c>
      <c r="E54" s="2" t="s">
        <v>30</v>
      </c>
      <c r="H54" s="4"/>
    </row>
    <row r="55" spans="1:11" x14ac:dyDescent="0.25">
      <c r="D55" s="40">
        <v>2</v>
      </c>
      <c r="E55" s="16" t="s">
        <v>12</v>
      </c>
      <c r="H55" s="2"/>
    </row>
    <row r="56" spans="1:11" x14ac:dyDescent="0.25">
      <c r="B56" s="4"/>
      <c r="D56" s="40">
        <f>SUM(D53:D55)</f>
        <v>27</v>
      </c>
      <c r="E56" s="2" t="s">
        <v>35</v>
      </c>
      <c r="H56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85</v>
      </c>
    </row>
    <row r="69" spans="1:11" ht="15.75" thickBot="1" x14ac:dyDescent="0.3">
      <c r="A69" s="31" t="s">
        <v>80</v>
      </c>
      <c r="B69" s="5"/>
      <c r="C69" s="35" t="s">
        <v>147</v>
      </c>
      <c r="D69" s="31" t="s">
        <v>81</v>
      </c>
      <c r="E69" s="5"/>
      <c r="G69" s="31" t="s">
        <v>82</v>
      </c>
      <c r="H69" s="5"/>
      <c r="J69" s="31" t="s">
        <v>83</v>
      </c>
      <c r="K69" s="5"/>
    </row>
    <row r="70" spans="1:11" x14ac:dyDescent="0.25">
      <c r="A70" s="32">
        <f>A15+D5+A37</f>
        <v>1</v>
      </c>
      <c r="B70" s="2" t="s">
        <v>41</v>
      </c>
      <c r="C70" s="36">
        <f>D70*15</f>
        <v>240</v>
      </c>
      <c r="D70" s="15">
        <f t="shared" ref="D70:D79" si="0">G5+D37+J37</f>
        <v>16</v>
      </c>
      <c r="E70" s="2" t="s">
        <v>19</v>
      </c>
      <c r="G70" s="13">
        <f>D15+G44</f>
        <v>0</v>
      </c>
      <c r="H70" s="2" t="s">
        <v>45</v>
      </c>
      <c r="J70" s="13">
        <f>A20+D19+D9+A42+G48</f>
        <v>16</v>
      </c>
      <c r="K70" s="2" t="s">
        <v>9</v>
      </c>
    </row>
    <row r="71" spans="1:11" x14ac:dyDescent="0.25">
      <c r="A71" s="27">
        <f>A16+D6+A38</f>
        <v>6</v>
      </c>
      <c r="B71" s="2" t="s">
        <v>42</v>
      </c>
      <c r="C71" s="36">
        <f t="shared" ref="C71:C77" si="1">D71*15</f>
        <v>465</v>
      </c>
      <c r="D71" s="14">
        <f t="shared" si="0"/>
        <v>31</v>
      </c>
      <c r="E71" s="2" t="s">
        <v>20</v>
      </c>
      <c r="G71" s="14">
        <f>D16+J9+G37+G45+D53</f>
        <v>164</v>
      </c>
      <c r="H71" s="2" t="s">
        <v>46</v>
      </c>
      <c r="J71" s="13">
        <f>A21+D20+D10+A43+G49</f>
        <v>58</v>
      </c>
      <c r="K71" s="2" t="s">
        <v>7</v>
      </c>
    </row>
    <row r="72" spans="1:11" x14ac:dyDescent="0.25">
      <c r="A72" s="27">
        <f>A17+D7+A39</f>
        <v>2</v>
      </c>
      <c r="B72" s="2" t="s">
        <v>4</v>
      </c>
      <c r="C72" s="36">
        <f t="shared" si="1"/>
        <v>45</v>
      </c>
      <c r="D72" s="14">
        <f t="shared" si="0"/>
        <v>3</v>
      </c>
      <c r="E72" s="2" t="s">
        <v>27</v>
      </c>
      <c r="G72" s="14">
        <f>D17+J10+G38+G46+D54</f>
        <v>1</v>
      </c>
      <c r="H72" s="2" t="s">
        <v>30</v>
      </c>
      <c r="J72" s="13">
        <f>A22+D11+A44</f>
        <v>0</v>
      </c>
      <c r="K72" s="2" t="s">
        <v>8</v>
      </c>
    </row>
    <row r="73" spans="1:11" x14ac:dyDescent="0.25">
      <c r="A73" s="27">
        <f>A18+D8+A40</f>
        <v>0</v>
      </c>
      <c r="B73" s="2" t="s">
        <v>5</v>
      </c>
      <c r="C73" s="36">
        <f t="shared" si="1"/>
        <v>60</v>
      </c>
      <c r="D73" s="14">
        <f t="shared" si="0"/>
        <v>4</v>
      </c>
      <c r="E73" s="2" t="s">
        <v>21</v>
      </c>
      <c r="G73" s="14">
        <f>D18+G47</f>
        <v>13</v>
      </c>
      <c r="H73" s="2" t="s">
        <v>145</v>
      </c>
      <c r="J73" s="13"/>
      <c r="K73" s="2" t="s">
        <v>55</v>
      </c>
    </row>
    <row r="74" spans="1:11" x14ac:dyDescent="0.25">
      <c r="A74" s="27">
        <f>A19+A41</f>
        <v>28</v>
      </c>
      <c r="B74" s="2" t="s">
        <v>6</v>
      </c>
      <c r="C74" s="36">
        <f>D74*12</f>
        <v>48</v>
      </c>
      <c r="D74" s="14">
        <f t="shared" si="0"/>
        <v>4</v>
      </c>
      <c r="E74" s="2" t="s">
        <v>23</v>
      </c>
      <c r="J74" s="13">
        <f>A23+J16+A45</f>
        <v>7</v>
      </c>
      <c r="K74" s="2" t="s">
        <v>44</v>
      </c>
    </row>
    <row r="75" spans="1:11" x14ac:dyDescent="0.25">
      <c r="A75" s="21">
        <f>A24+A46</f>
        <v>2</v>
      </c>
      <c r="B75" s="2" t="s">
        <v>15</v>
      </c>
      <c r="C75" s="36">
        <f>D75*10</f>
        <v>330</v>
      </c>
      <c r="D75" s="14">
        <f t="shared" si="0"/>
        <v>33</v>
      </c>
      <c r="E75" s="2" t="s">
        <v>22</v>
      </c>
      <c r="J75" s="13"/>
      <c r="K75" s="2" t="s">
        <v>2</v>
      </c>
    </row>
    <row r="76" spans="1:11" x14ac:dyDescent="0.25">
      <c r="B76" s="2"/>
      <c r="C76" s="36">
        <f t="shared" si="1"/>
        <v>60</v>
      </c>
      <c r="D76" s="14">
        <f t="shared" si="0"/>
        <v>4</v>
      </c>
      <c r="E76" s="2" t="s">
        <v>24</v>
      </c>
      <c r="J76" s="14">
        <f>A5+A8+J5</f>
        <v>18</v>
      </c>
      <c r="K76" s="2" t="s">
        <v>1</v>
      </c>
    </row>
    <row r="77" spans="1:11" x14ac:dyDescent="0.25">
      <c r="B77" s="2"/>
      <c r="C77" s="36">
        <f t="shared" si="1"/>
        <v>15</v>
      </c>
      <c r="D77" s="14">
        <f t="shared" si="0"/>
        <v>1</v>
      </c>
      <c r="E77" s="2" t="s">
        <v>25</v>
      </c>
      <c r="J77" s="14">
        <f>A11</f>
        <v>3</v>
      </c>
      <c r="K77" s="2" t="s">
        <v>0</v>
      </c>
    </row>
    <row r="78" spans="1:11" x14ac:dyDescent="0.25">
      <c r="B78" s="2"/>
      <c r="C78" s="36">
        <f>D78*8</f>
        <v>24</v>
      </c>
      <c r="D78" s="14">
        <f t="shared" si="0"/>
        <v>3</v>
      </c>
      <c r="E78" s="2" t="s">
        <v>26</v>
      </c>
    </row>
    <row r="79" spans="1:11" x14ac:dyDescent="0.25">
      <c r="C79" s="36">
        <f>D79*8</f>
        <v>312</v>
      </c>
      <c r="D79" s="14">
        <f t="shared" si="0"/>
        <v>39</v>
      </c>
      <c r="E79" s="2" t="s">
        <v>28</v>
      </c>
    </row>
    <row r="84" spans="1:11" ht="15.75" thickBot="1" x14ac:dyDescent="0.3">
      <c r="A84" s="31" t="s">
        <v>84</v>
      </c>
      <c r="B84" s="5"/>
      <c r="F84" s="35" t="s">
        <v>147</v>
      </c>
      <c r="G84" s="31" t="s">
        <v>86</v>
      </c>
      <c r="H84" s="5"/>
      <c r="J84" s="5" t="s">
        <v>180</v>
      </c>
      <c r="K84" s="31" t="s">
        <v>179</v>
      </c>
    </row>
    <row r="85" spans="1:11" x14ac:dyDescent="0.25">
      <c r="A85" s="13">
        <f>A25+A47</f>
        <v>3</v>
      </c>
      <c r="B85" s="2" t="s">
        <v>14</v>
      </c>
      <c r="F85" s="36">
        <f>G85*15</f>
        <v>30</v>
      </c>
      <c r="G85" s="27">
        <f>A72</f>
        <v>2</v>
      </c>
      <c r="H85" s="2" t="s">
        <v>4</v>
      </c>
      <c r="J85" s="15">
        <f>IF(MOD((A15),24)=0,(A15)/24,0)+IF(MOD((A37),24)=0,(A37)/24,0)</f>
        <v>0</v>
      </c>
      <c r="K85" t="s">
        <v>41</v>
      </c>
    </row>
    <row r="86" spans="1:11" x14ac:dyDescent="0.25">
      <c r="A86" s="14">
        <f>A26+A48</f>
        <v>2</v>
      </c>
      <c r="B86" s="2" t="s">
        <v>16</v>
      </c>
      <c r="F86" s="36">
        <f t="shared" ref="F86:F89" si="2">G86*15</f>
        <v>30</v>
      </c>
      <c r="G86" s="21">
        <f>A75</f>
        <v>2</v>
      </c>
      <c r="H86" s="2" t="s">
        <v>15</v>
      </c>
      <c r="J86" s="14">
        <f>IF(MOD((A16),24)=0,(A16)/24,0)+IF(MOD((A38),24)=0,(A38)/24,0)</f>
        <v>0</v>
      </c>
      <c r="K86" t="s">
        <v>42</v>
      </c>
    </row>
    <row r="87" spans="1:11" x14ac:dyDescent="0.25">
      <c r="A87" s="14">
        <f>A27+A49</f>
        <v>1</v>
      </c>
      <c r="B87" s="2" t="s">
        <v>17</v>
      </c>
      <c r="F87" s="36">
        <f>G87*10</f>
        <v>0</v>
      </c>
      <c r="G87" s="30">
        <f>J72</f>
        <v>0</v>
      </c>
      <c r="H87" s="2" t="s">
        <v>8</v>
      </c>
      <c r="J87" s="14">
        <f>IF(MOD((A19),20)=0,(A19)/20,0)+IF(MOD((A41),20)=0,(A41)/20,0)</f>
        <v>1</v>
      </c>
      <c r="K87" s="2" t="s">
        <v>6</v>
      </c>
    </row>
    <row r="88" spans="1:11" x14ac:dyDescent="0.25">
      <c r="A88" s="14">
        <f>A28+A50</f>
        <v>0</v>
      </c>
      <c r="B88" s="2" t="s">
        <v>11</v>
      </c>
      <c r="F88" s="36">
        <f t="shared" si="2"/>
        <v>0</v>
      </c>
      <c r="G88" s="27">
        <f>A73</f>
        <v>0</v>
      </c>
      <c r="H88" s="2" t="s">
        <v>5</v>
      </c>
      <c r="J88" s="14">
        <f>IF(MOD((D15),24)=0,(D15)/24,0)+IF(MOD((G44),24)=0,(G44)/24,0)</f>
        <v>0</v>
      </c>
      <c r="K88" s="2" t="s">
        <v>45</v>
      </c>
    </row>
    <row r="89" spans="1:11" x14ac:dyDescent="0.25">
      <c r="A89" s="14">
        <f>A29+A51+J11+D55+G39</f>
        <v>2</v>
      </c>
      <c r="B89" s="2" t="s">
        <v>12</v>
      </c>
      <c r="F89" s="36">
        <f t="shared" si="2"/>
        <v>15</v>
      </c>
      <c r="G89" s="21">
        <f>G72</f>
        <v>1</v>
      </c>
      <c r="H89" s="2" t="s">
        <v>30</v>
      </c>
      <c r="J89" s="14">
        <f>IF(MOD((D16),24)=0,(D16)/24,0)+IF(MOD((G45),24)=0,(G45)/24,0)</f>
        <v>4</v>
      </c>
      <c r="K89" s="2" t="s">
        <v>46</v>
      </c>
    </row>
    <row r="90" spans="1:11" x14ac:dyDescent="0.25">
      <c r="A90" s="14">
        <f>A30+A52</f>
        <v>0</v>
      </c>
      <c r="B90" s="2" t="s">
        <v>13</v>
      </c>
      <c r="F90" s="36">
        <f>G90*5</f>
        <v>140</v>
      </c>
      <c r="G90" s="21">
        <f>A74</f>
        <v>28</v>
      </c>
      <c r="H90" s="2" t="s">
        <v>54</v>
      </c>
      <c r="J90" s="14">
        <f>IF(MOD((D18),13)=0,(D18)/13,0)+IF(MOD((G47),13)=0,(G47)/13,0)</f>
        <v>0</v>
      </c>
      <c r="K90" s="2" t="s">
        <v>145</v>
      </c>
    </row>
    <row r="91" spans="1:11" x14ac:dyDescent="0.25">
      <c r="A91" s="14">
        <f>A31+A53</f>
        <v>0</v>
      </c>
      <c r="B91" s="2" t="s">
        <v>18</v>
      </c>
      <c r="F91" s="36">
        <f>G91*8</f>
        <v>104</v>
      </c>
      <c r="G91" s="21">
        <f>G73</f>
        <v>13</v>
      </c>
      <c r="H91" s="2" t="s">
        <v>145</v>
      </c>
      <c r="J91" s="14">
        <f>IF(MOD((A21),24)=0,(A21)/24,0)+IF(MOD((D20),24)=0,(D20)/24,0)+IF(MOD((A43),24)=0,(A43)/24,0)+IF(MOD((G49),24)=0,(G49)/24,0)</f>
        <v>1</v>
      </c>
      <c r="K91" s="2" t="s">
        <v>7</v>
      </c>
    </row>
    <row r="92" spans="1:11" x14ac:dyDescent="0.25">
      <c r="J92" s="14">
        <f>IF(MOD((A22),24)=0,(A22)/24,0)+IF(MOD((A44),24)=0,(A44)/24,0)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15:A1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1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21:A2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15:D1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1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2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44:G45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47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48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K78"/>
  <sheetViews>
    <sheetView view="pageLayout" topLeftCell="B1" zoomScale="70" zoomScaleNormal="100" zoomScalePageLayoutView="70" workbookViewId="0">
      <selection activeCell="H32" sqref="H32"/>
    </sheetView>
  </sheetViews>
  <sheetFormatPr defaultRowHeight="15" x14ac:dyDescent="0.25"/>
  <cols>
    <col min="1" max="1" width="6.42578125" customWidth="1"/>
    <col min="2" max="2" width="19.5703125" customWidth="1"/>
    <col min="3" max="3" width="5.140625" customWidth="1"/>
    <col min="4" max="4" width="5" customWidth="1"/>
    <col min="5" max="5" width="21.7109375" customWidth="1"/>
    <col min="6" max="6" width="5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68" t="s">
        <v>149</v>
      </c>
      <c r="B1" s="68"/>
      <c r="C1" s="67">
        <f>DATE(2024,1,1)+(Mon!B2-1)*7+1</f>
        <v>45419</v>
      </c>
      <c r="D1" s="67"/>
      <c r="E1" s="67"/>
      <c r="G1" s="64" t="s">
        <v>186</v>
      </c>
      <c r="H1" s="66">
        <f>Mon!C1+42-1</f>
        <v>45459</v>
      </c>
      <c r="J1" s="17" t="s">
        <v>105</v>
      </c>
      <c r="K1" s="17"/>
    </row>
    <row r="2" spans="1:11" ht="12.4" customHeight="1" x14ac:dyDescent="0.25">
      <c r="J2" s="40">
        <v>0</v>
      </c>
      <c r="K2" s="2" t="s">
        <v>41</v>
      </c>
    </row>
    <row r="3" spans="1:11" ht="12.4" customHeight="1" thickBot="1" x14ac:dyDescent="0.3">
      <c r="A3" s="17" t="s">
        <v>98</v>
      </c>
      <c r="B3" s="17"/>
      <c r="D3" s="20" t="s">
        <v>58</v>
      </c>
      <c r="E3" s="5"/>
      <c r="G3" s="17" t="s">
        <v>101</v>
      </c>
      <c r="H3" s="5"/>
      <c r="J3" s="40">
        <v>5</v>
      </c>
      <c r="K3" s="2" t="s">
        <v>42</v>
      </c>
    </row>
    <row r="4" spans="1:11" ht="12.4" customHeight="1" x14ac:dyDescent="0.25">
      <c r="A4" s="40">
        <v>43</v>
      </c>
      <c r="B4" s="2" t="s">
        <v>52</v>
      </c>
      <c r="D4" s="40">
        <v>0</v>
      </c>
      <c r="E4" s="2" t="s">
        <v>45</v>
      </c>
      <c r="G4" s="40">
        <v>4</v>
      </c>
      <c r="H4" t="s">
        <v>44</v>
      </c>
      <c r="J4" s="40">
        <v>0</v>
      </c>
      <c r="K4" s="2" t="s">
        <v>4</v>
      </c>
    </row>
    <row r="5" spans="1:11" ht="12.4" customHeight="1" x14ac:dyDescent="0.25">
      <c r="A5" s="40">
        <v>1</v>
      </c>
      <c r="B5" s="2" t="s">
        <v>2</v>
      </c>
      <c r="D5" s="40">
        <v>0</v>
      </c>
      <c r="E5" s="2" t="s">
        <v>46</v>
      </c>
      <c r="J5" s="40">
        <v>1</v>
      </c>
      <c r="K5" s="2" t="s">
        <v>5</v>
      </c>
    </row>
    <row r="6" spans="1:11" ht="12.4" customHeight="1" x14ac:dyDescent="0.25">
      <c r="A6" s="40">
        <v>4</v>
      </c>
      <c r="B6" s="16" t="s">
        <v>7</v>
      </c>
      <c r="D6" s="40">
        <v>2</v>
      </c>
      <c r="E6" s="2" t="s">
        <v>30</v>
      </c>
      <c r="J6" s="40">
        <v>24</v>
      </c>
      <c r="K6" s="2" t="s">
        <v>6</v>
      </c>
    </row>
    <row r="7" spans="1:11" ht="12.4" customHeight="1" thickBot="1" x14ac:dyDescent="0.3">
      <c r="A7" s="40">
        <f>SUM(A4:A6)</f>
        <v>48</v>
      </c>
      <c r="B7" s="2" t="s">
        <v>35</v>
      </c>
      <c r="D7" s="40">
        <v>8</v>
      </c>
      <c r="E7" s="2" t="s">
        <v>145</v>
      </c>
      <c r="G7" s="22" t="s">
        <v>102</v>
      </c>
      <c r="H7" s="28"/>
      <c r="J7" s="40">
        <v>5</v>
      </c>
      <c r="K7" s="2" t="s">
        <v>9</v>
      </c>
    </row>
    <row r="8" spans="1:11" ht="12.4" customHeight="1" x14ac:dyDescent="0.25">
      <c r="D8" s="40">
        <v>10</v>
      </c>
      <c r="E8" s="2" t="s">
        <v>47</v>
      </c>
      <c r="G8" s="40">
        <v>0</v>
      </c>
      <c r="H8" s="2" t="s">
        <v>41</v>
      </c>
      <c r="J8" s="40">
        <v>6</v>
      </c>
      <c r="K8" s="2" t="s">
        <v>7</v>
      </c>
    </row>
    <row r="9" spans="1:11" ht="12.4" customHeight="1" x14ac:dyDescent="0.25">
      <c r="D9" s="40">
        <v>0</v>
      </c>
      <c r="E9" s="16" t="s">
        <v>78</v>
      </c>
      <c r="G9" s="40">
        <v>0</v>
      </c>
      <c r="H9" s="2" t="s">
        <v>42</v>
      </c>
      <c r="J9" s="40">
        <v>48</v>
      </c>
      <c r="K9" s="2" t="s">
        <v>8</v>
      </c>
    </row>
    <row r="10" spans="1:11" ht="12.4" customHeight="1" thickBot="1" x14ac:dyDescent="0.3">
      <c r="A10" s="17" t="s">
        <v>99</v>
      </c>
      <c r="B10" s="17"/>
      <c r="D10" s="40">
        <f>SUM(D4:D9)</f>
        <v>20</v>
      </c>
      <c r="E10" s="2" t="s">
        <v>35</v>
      </c>
      <c r="G10" s="40">
        <v>0</v>
      </c>
      <c r="H10" s="2" t="s">
        <v>4</v>
      </c>
      <c r="J10" s="40">
        <v>2</v>
      </c>
      <c r="K10" s="2" t="s">
        <v>44</v>
      </c>
    </row>
    <row r="11" spans="1:11" ht="12.4" customHeight="1" x14ac:dyDescent="0.25">
      <c r="A11" s="40">
        <v>1</v>
      </c>
      <c r="B11" s="2" t="s">
        <v>41</v>
      </c>
      <c r="G11" s="40">
        <v>0</v>
      </c>
      <c r="H11" s="2" t="s">
        <v>5</v>
      </c>
      <c r="J11" s="40">
        <v>5</v>
      </c>
      <c r="K11" s="2" t="s">
        <v>15</v>
      </c>
    </row>
    <row r="12" spans="1:11" ht="12.4" customHeight="1" x14ac:dyDescent="0.25">
      <c r="A12" s="40">
        <v>4</v>
      </c>
      <c r="B12" s="2" t="s">
        <v>42</v>
      </c>
      <c r="D12" s="2" t="s">
        <v>36</v>
      </c>
      <c r="E12" s="16">
        <v>4867869863</v>
      </c>
      <c r="G12" s="40">
        <v>0</v>
      </c>
      <c r="H12" s="2" t="s">
        <v>6</v>
      </c>
      <c r="J12" s="40">
        <v>1</v>
      </c>
      <c r="K12" s="2" t="s">
        <v>14</v>
      </c>
    </row>
    <row r="13" spans="1:11" ht="12.4" customHeight="1" x14ac:dyDescent="0.25">
      <c r="A13" s="40">
        <v>3</v>
      </c>
      <c r="B13" s="2" t="s">
        <v>4</v>
      </c>
      <c r="G13" s="40">
        <v>0</v>
      </c>
      <c r="H13" s="2" t="s">
        <v>9</v>
      </c>
      <c r="J13" s="40">
        <v>1</v>
      </c>
      <c r="K13" s="2" t="s">
        <v>16</v>
      </c>
    </row>
    <row r="14" spans="1:11" ht="12.4" customHeight="1" x14ac:dyDescent="0.25">
      <c r="A14" s="40">
        <v>2</v>
      </c>
      <c r="B14" s="2" t="s">
        <v>5</v>
      </c>
      <c r="G14" s="40">
        <v>0</v>
      </c>
      <c r="H14" s="2" t="s">
        <v>7</v>
      </c>
      <c r="J14" s="40">
        <v>0</v>
      </c>
      <c r="K14" s="2" t="s">
        <v>17</v>
      </c>
    </row>
    <row r="15" spans="1:11" ht="12.4" customHeight="1" thickBot="1" x14ac:dyDescent="0.3">
      <c r="A15" s="40">
        <v>40</v>
      </c>
      <c r="B15" s="2" t="s">
        <v>6</v>
      </c>
      <c r="D15" s="17" t="s">
        <v>62</v>
      </c>
      <c r="E15" s="5"/>
      <c r="G15" s="40">
        <v>0</v>
      </c>
      <c r="H15" s="2" t="s">
        <v>8</v>
      </c>
      <c r="J15" s="40">
        <v>0</v>
      </c>
      <c r="K15" s="2" t="s">
        <v>11</v>
      </c>
    </row>
    <row r="16" spans="1:11" ht="12.4" customHeight="1" x14ac:dyDescent="0.25">
      <c r="A16" s="40">
        <v>10</v>
      </c>
      <c r="B16" s="2" t="s">
        <v>9</v>
      </c>
      <c r="D16" s="40">
        <v>5</v>
      </c>
      <c r="E16" t="s">
        <v>44</v>
      </c>
      <c r="G16" s="40">
        <v>0</v>
      </c>
      <c r="H16" s="16" t="s">
        <v>44</v>
      </c>
      <c r="J16" s="40">
        <v>1</v>
      </c>
      <c r="K16" s="2" t="s">
        <v>12</v>
      </c>
    </row>
    <row r="17" spans="1:11" ht="12.4" customHeight="1" x14ac:dyDescent="0.25">
      <c r="A17" s="40">
        <v>10</v>
      </c>
      <c r="B17" s="2" t="s">
        <v>7</v>
      </c>
      <c r="F17" s="2"/>
      <c r="G17" s="40">
        <f>SUM(G8:G16)</f>
        <v>0</v>
      </c>
      <c r="H17" s="3" t="s">
        <v>35</v>
      </c>
      <c r="J17" s="40">
        <v>0</v>
      </c>
      <c r="K17" s="2" t="s">
        <v>13</v>
      </c>
    </row>
    <row r="18" spans="1:11" ht="12.4" customHeight="1" x14ac:dyDescent="0.25">
      <c r="A18" s="40">
        <v>48</v>
      </c>
      <c r="B18" s="2" t="s">
        <v>8</v>
      </c>
      <c r="J18" s="40">
        <v>0</v>
      </c>
      <c r="K18" s="16" t="s">
        <v>18</v>
      </c>
    </row>
    <row r="19" spans="1:11" ht="12.4" customHeight="1" thickBot="1" x14ac:dyDescent="0.3">
      <c r="A19" s="40">
        <v>4</v>
      </c>
      <c r="B19" s="2" t="s">
        <v>44</v>
      </c>
      <c r="D19" s="17" t="s">
        <v>100</v>
      </c>
      <c r="E19" s="17"/>
      <c r="J19" s="40">
        <f>SUM(J2:J18)</f>
        <v>99</v>
      </c>
      <c r="K19" s="2" t="s">
        <v>35</v>
      </c>
    </row>
    <row r="20" spans="1:11" ht="12.4" customHeight="1" thickBot="1" x14ac:dyDescent="0.3">
      <c r="A20" s="40">
        <v>8</v>
      </c>
      <c r="B20" s="2" t="s">
        <v>15</v>
      </c>
      <c r="D20" s="40">
        <v>0</v>
      </c>
      <c r="E20" s="2" t="s">
        <v>41</v>
      </c>
      <c r="G20" s="17" t="s">
        <v>103</v>
      </c>
      <c r="H20" s="17"/>
    </row>
    <row r="21" spans="1:11" ht="12.4" customHeight="1" thickBot="1" x14ac:dyDescent="0.3">
      <c r="A21" s="40">
        <v>1</v>
      </c>
      <c r="B21" s="2" t="s">
        <v>14</v>
      </c>
      <c r="D21" s="40">
        <v>0</v>
      </c>
      <c r="E21" s="2" t="s">
        <v>42</v>
      </c>
      <c r="G21" s="40">
        <v>5</v>
      </c>
      <c r="H21" s="2" t="s">
        <v>29</v>
      </c>
      <c r="J21" s="20" t="s">
        <v>106</v>
      </c>
      <c r="K21" s="5"/>
    </row>
    <row r="22" spans="1:11" ht="12.4" customHeight="1" x14ac:dyDescent="0.25">
      <c r="A22" s="40">
        <v>1</v>
      </c>
      <c r="B22" s="2" t="s">
        <v>16</v>
      </c>
      <c r="D22" s="40">
        <v>0</v>
      </c>
      <c r="E22" s="2" t="s">
        <v>4</v>
      </c>
      <c r="G22" s="40">
        <v>0</v>
      </c>
      <c r="H22" s="2" t="s">
        <v>30</v>
      </c>
      <c r="J22" s="40">
        <v>1</v>
      </c>
      <c r="K22" s="2" t="s">
        <v>45</v>
      </c>
    </row>
    <row r="23" spans="1:11" ht="12.4" customHeight="1" x14ac:dyDescent="0.25">
      <c r="A23" s="40">
        <v>1</v>
      </c>
      <c r="B23" s="2" t="s">
        <v>17</v>
      </c>
      <c r="D23" s="40">
        <v>0</v>
      </c>
      <c r="E23" s="2" t="s">
        <v>5</v>
      </c>
      <c r="G23" s="40">
        <v>0</v>
      </c>
      <c r="H23" s="16" t="s">
        <v>12</v>
      </c>
      <c r="J23" s="40">
        <v>0</v>
      </c>
      <c r="K23" s="2" t="s">
        <v>46</v>
      </c>
    </row>
    <row r="24" spans="1:11" ht="12.4" customHeight="1" x14ac:dyDescent="0.25">
      <c r="A24" s="40">
        <v>1</v>
      </c>
      <c r="B24" s="2" t="s">
        <v>11</v>
      </c>
      <c r="D24" s="40">
        <v>20</v>
      </c>
      <c r="E24" s="2" t="s">
        <v>6</v>
      </c>
      <c r="G24" s="40">
        <f>SUM(G21:G23)</f>
        <v>5</v>
      </c>
      <c r="H24" s="2" t="s">
        <v>35</v>
      </c>
      <c r="J24" s="40">
        <v>0</v>
      </c>
      <c r="K24" s="2" t="s">
        <v>30</v>
      </c>
    </row>
    <row r="25" spans="1:11" ht="12.4" customHeight="1" x14ac:dyDescent="0.25">
      <c r="A25" s="40">
        <v>1</v>
      </c>
      <c r="B25" s="2" t="s">
        <v>12</v>
      </c>
      <c r="D25" s="40">
        <v>6</v>
      </c>
      <c r="E25" s="2" t="s">
        <v>9</v>
      </c>
      <c r="H25" s="3"/>
      <c r="J25" s="40">
        <v>0</v>
      </c>
      <c r="K25" s="2" t="s">
        <v>145</v>
      </c>
    </row>
    <row r="26" spans="1:11" ht="12.4" customHeight="1" x14ac:dyDescent="0.25">
      <c r="A26" s="40">
        <v>1</v>
      </c>
      <c r="B26" s="2" t="s">
        <v>13</v>
      </c>
      <c r="D26" s="40">
        <v>6</v>
      </c>
      <c r="E26" s="2" t="s">
        <v>7</v>
      </c>
      <c r="J26" s="40">
        <v>3</v>
      </c>
      <c r="K26" s="2" t="s">
        <v>47</v>
      </c>
    </row>
    <row r="27" spans="1:11" ht="12.4" customHeight="1" thickBot="1" x14ac:dyDescent="0.3">
      <c r="A27" s="40">
        <v>1</v>
      </c>
      <c r="B27" s="16" t="s">
        <v>18</v>
      </c>
      <c r="D27" s="40">
        <v>6</v>
      </c>
      <c r="E27" s="2" t="s">
        <v>8</v>
      </c>
      <c r="G27" s="17" t="s">
        <v>104</v>
      </c>
      <c r="H27" s="26"/>
      <c r="J27" s="40">
        <v>8</v>
      </c>
      <c r="K27" s="16" t="s">
        <v>78</v>
      </c>
    </row>
    <row r="28" spans="1:11" ht="12.4" customHeight="1" x14ac:dyDescent="0.25">
      <c r="A28" s="40">
        <f>SUM(A11:A27)</f>
        <v>137</v>
      </c>
      <c r="B28" s="2" t="s">
        <v>35</v>
      </c>
      <c r="D28" s="40">
        <v>0</v>
      </c>
      <c r="E28" s="2" t="s">
        <v>44</v>
      </c>
      <c r="G28" s="40">
        <v>21</v>
      </c>
      <c r="H28" s="2" t="s">
        <v>44</v>
      </c>
      <c r="J28" s="40">
        <f>SUM(J22:J27)</f>
        <v>12</v>
      </c>
      <c r="K28" s="2" t="s">
        <v>35</v>
      </c>
    </row>
    <row r="29" spans="1:11" ht="12.4" customHeight="1" x14ac:dyDescent="0.25">
      <c r="D29" s="40">
        <v>0</v>
      </c>
      <c r="E29" s="2" t="s">
        <v>15</v>
      </c>
    </row>
    <row r="30" spans="1:11" ht="12.4" customHeight="1" thickBot="1" x14ac:dyDescent="0.3">
      <c r="D30" s="40">
        <v>0</v>
      </c>
      <c r="E30" s="2" t="s">
        <v>14</v>
      </c>
      <c r="J30" s="17" t="s">
        <v>107</v>
      </c>
      <c r="K30" s="5"/>
    </row>
    <row r="31" spans="1:11" ht="12.4" customHeight="1" thickBot="1" x14ac:dyDescent="0.3">
      <c r="A31" s="17" t="s">
        <v>53</v>
      </c>
      <c r="B31" s="5"/>
      <c r="D31" s="40">
        <v>0</v>
      </c>
      <c r="E31" s="2" t="s">
        <v>16</v>
      </c>
      <c r="J31" s="40">
        <v>8</v>
      </c>
      <c r="K31" t="s">
        <v>55</v>
      </c>
    </row>
    <row r="32" spans="1:11" ht="12.4" customHeight="1" x14ac:dyDescent="0.25">
      <c r="A32" s="40">
        <v>15</v>
      </c>
      <c r="B32" t="s">
        <v>44</v>
      </c>
      <c r="D32" s="40">
        <v>0</v>
      </c>
      <c r="E32" s="2" t="s">
        <v>17</v>
      </c>
      <c r="J32" s="40">
        <v>6</v>
      </c>
      <c r="K32" s="16" t="s">
        <v>2</v>
      </c>
    </row>
    <row r="33" spans="1:11" ht="12.4" customHeight="1" x14ac:dyDescent="0.25">
      <c r="A33" s="40">
        <v>8</v>
      </c>
      <c r="B33" s="16" t="s">
        <v>54</v>
      </c>
      <c r="D33" s="40">
        <v>0</v>
      </c>
      <c r="E33" s="2" t="s">
        <v>11</v>
      </c>
      <c r="J33" s="40">
        <f>SUM(J31:J32)</f>
        <v>14</v>
      </c>
      <c r="K33" s="2" t="s">
        <v>35</v>
      </c>
    </row>
    <row r="34" spans="1:11" ht="12.4" customHeight="1" x14ac:dyDescent="0.25">
      <c r="A34" s="40">
        <f>SUM(A32:A33)</f>
        <v>23</v>
      </c>
      <c r="B34" s="2" t="s">
        <v>35</v>
      </c>
      <c r="D34" s="40">
        <v>0</v>
      </c>
      <c r="E34" s="2" t="s">
        <v>12</v>
      </c>
    </row>
    <row r="35" spans="1:11" ht="12.4" customHeight="1" thickBot="1" x14ac:dyDescent="0.3">
      <c r="D35" s="40">
        <v>0</v>
      </c>
      <c r="E35" s="2" t="s">
        <v>13</v>
      </c>
      <c r="J35" s="17" t="s">
        <v>108</v>
      </c>
      <c r="K35" s="5"/>
    </row>
    <row r="36" spans="1:11" ht="12.4" customHeight="1" thickBot="1" x14ac:dyDescent="0.3">
      <c r="A36" s="17" t="s">
        <v>57</v>
      </c>
      <c r="B36" s="5"/>
      <c r="D36" s="40">
        <v>0</v>
      </c>
      <c r="E36" s="16" t="s">
        <v>18</v>
      </c>
      <c r="J36" s="40">
        <v>2</v>
      </c>
      <c r="K36" t="s">
        <v>1</v>
      </c>
    </row>
    <row r="37" spans="1:11" ht="12.4" customHeight="1" x14ac:dyDescent="0.25">
      <c r="A37" s="40">
        <v>2</v>
      </c>
      <c r="B37" t="s">
        <v>1</v>
      </c>
      <c r="C37" s="23"/>
      <c r="D37" s="40">
        <f>SUM(D20:D36)</f>
        <v>38</v>
      </c>
      <c r="E37" s="2" t="s">
        <v>35</v>
      </c>
      <c r="F37" s="1"/>
      <c r="J37" s="2"/>
      <c r="K37" s="2"/>
    </row>
    <row r="38" spans="1:11" ht="12.4" customHeight="1" thickBot="1" x14ac:dyDescent="0.3">
      <c r="J38" s="17" t="s">
        <v>109</v>
      </c>
      <c r="K38" s="5"/>
    </row>
    <row r="39" spans="1:11" x14ac:dyDescent="0.25">
      <c r="J39" s="40">
        <v>13</v>
      </c>
      <c r="K39" s="2" t="s">
        <v>44</v>
      </c>
    </row>
    <row r="40" spans="1:11" ht="21" x14ac:dyDescent="0.35">
      <c r="A40" s="19" t="s">
        <v>85</v>
      </c>
    </row>
    <row r="42" spans="1:11" ht="15.75" thickBot="1" x14ac:dyDescent="0.3">
      <c r="A42" s="31" t="s">
        <v>80</v>
      </c>
      <c r="B42" s="5"/>
      <c r="C42" s="35" t="s">
        <v>147</v>
      </c>
      <c r="D42" s="31" t="s">
        <v>81</v>
      </c>
      <c r="E42" s="5"/>
      <c r="G42" s="31" t="s">
        <v>82</v>
      </c>
      <c r="H42" s="5"/>
      <c r="J42" s="31" t="s">
        <v>83</v>
      </c>
      <c r="K42" s="5"/>
    </row>
    <row r="43" spans="1:11" x14ac:dyDescent="0.25">
      <c r="A43" s="32">
        <f>A11+J2+G8+D20</f>
        <v>1</v>
      </c>
      <c r="B43" s="2" t="s">
        <v>41</v>
      </c>
      <c r="C43" s="36">
        <f>D43*15</f>
        <v>0</v>
      </c>
      <c r="D43" s="15"/>
      <c r="E43" s="2" t="s">
        <v>19</v>
      </c>
      <c r="G43" s="13">
        <f>D4+J22</f>
        <v>1</v>
      </c>
      <c r="H43" s="2" t="s">
        <v>45</v>
      </c>
      <c r="J43" s="13">
        <f>A16+D8+J7+G13+D25+J26</f>
        <v>34</v>
      </c>
      <c r="K43" s="2" t="s">
        <v>9</v>
      </c>
    </row>
    <row r="44" spans="1:11" x14ac:dyDescent="0.25">
      <c r="A44" s="27">
        <f>A12+J3+G9+D21</f>
        <v>9</v>
      </c>
      <c r="B44" s="2" t="s">
        <v>42</v>
      </c>
      <c r="C44" s="36">
        <f t="shared" ref="C44:C50" si="0">D44*15</f>
        <v>0</v>
      </c>
      <c r="D44" s="14"/>
      <c r="E44" s="2" t="s">
        <v>20</v>
      </c>
      <c r="G44" s="13">
        <f>D5+J23+G21</f>
        <v>5</v>
      </c>
      <c r="H44" s="2" t="s">
        <v>46</v>
      </c>
      <c r="J44" s="13">
        <f>A17+D9+J8+G14+D26+J27+A6</f>
        <v>34</v>
      </c>
      <c r="K44" s="2" t="s">
        <v>7</v>
      </c>
    </row>
    <row r="45" spans="1:11" x14ac:dyDescent="0.25">
      <c r="A45" s="27">
        <f>A13+J4+G10+D22</f>
        <v>3</v>
      </c>
      <c r="B45" s="2" t="s">
        <v>4</v>
      </c>
      <c r="C45" s="36">
        <f t="shared" si="0"/>
        <v>0</v>
      </c>
      <c r="D45" s="14"/>
      <c r="E45" s="2" t="s">
        <v>27</v>
      </c>
      <c r="G45" s="13">
        <f>D6+J24+G22</f>
        <v>2</v>
      </c>
      <c r="H45" s="2" t="s">
        <v>30</v>
      </c>
      <c r="J45" s="13">
        <f>A18+J9+G15+D27</f>
        <v>102</v>
      </c>
      <c r="K45" s="2" t="s">
        <v>8</v>
      </c>
    </row>
    <row r="46" spans="1:11" x14ac:dyDescent="0.25">
      <c r="A46" s="27">
        <f>A14+J5+G11+D23</f>
        <v>3</v>
      </c>
      <c r="B46" s="2" t="s">
        <v>5</v>
      </c>
      <c r="C46" s="36">
        <f t="shared" si="0"/>
        <v>0</v>
      </c>
      <c r="D46" s="14"/>
      <c r="E46" s="2" t="s">
        <v>21</v>
      </c>
      <c r="G46" s="14">
        <f>D7+J25</f>
        <v>8</v>
      </c>
      <c r="H46" s="2" t="s">
        <v>144</v>
      </c>
      <c r="J46" s="13">
        <f>J31</f>
        <v>8</v>
      </c>
      <c r="K46" s="2" t="s">
        <v>55</v>
      </c>
    </row>
    <row r="47" spans="1:11" x14ac:dyDescent="0.25">
      <c r="A47" s="27">
        <f>A15+J6+G12+D24+A33</f>
        <v>92</v>
      </c>
      <c r="B47" s="2" t="s">
        <v>6</v>
      </c>
      <c r="C47" s="36">
        <f>D47*12</f>
        <v>0</v>
      </c>
      <c r="D47" s="14"/>
      <c r="E47" s="2" t="s">
        <v>23</v>
      </c>
      <c r="J47" s="13">
        <f>A19+G4+J10+G16+A4+D28+A32+G28+J39+D16</f>
        <v>107</v>
      </c>
      <c r="K47" s="2" t="s">
        <v>44</v>
      </c>
    </row>
    <row r="48" spans="1:11" x14ac:dyDescent="0.25">
      <c r="A48" s="21">
        <f>A20+J11+D29</f>
        <v>13</v>
      </c>
      <c r="B48" s="2" t="s">
        <v>15</v>
      </c>
      <c r="C48" s="36">
        <f>D48*10</f>
        <v>0</v>
      </c>
      <c r="D48" s="14"/>
      <c r="E48" s="2" t="s">
        <v>22</v>
      </c>
      <c r="J48" s="13">
        <f>J32+A5</f>
        <v>7</v>
      </c>
      <c r="K48" s="2" t="s">
        <v>2</v>
      </c>
    </row>
    <row r="49" spans="1:11" x14ac:dyDescent="0.25">
      <c r="B49" s="2"/>
      <c r="C49" s="36">
        <f t="shared" si="0"/>
        <v>0</v>
      </c>
      <c r="D49" s="14"/>
      <c r="E49" s="2" t="s">
        <v>24</v>
      </c>
      <c r="J49" s="14">
        <f>J36+A37</f>
        <v>4</v>
      </c>
      <c r="K49" s="2" t="s">
        <v>1</v>
      </c>
    </row>
    <row r="50" spans="1:11" x14ac:dyDescent="0.25">
      <c r="B50" s="2"/>
      <c r="C50" s="36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6">
        <f>D51*8</f>
        <v>0</v>
      </c>
      <c r="D51" s="14"/>
      <c r="E51" s="2" t="s">
        <v>26</v>
      </c>
    </row>
    <row r="52" spans="1:11" x14ac:dyDescent="0.25">
      <c r="C52" s="36">
        <f>D52*8</f>
        <v>0</v>
      </c>
      <c r="D52" s="14"/>
      <c r="E52" s="2" t="s">
        <v>28</v>
      </c>
    </row>
    <row r="57" spans="1:11" ht="15.75" thickBot="1" x14ac:dyDescent="0.3">
      <c r="A57" s="31" t="s">
        <v>84</v>
      </c>
      <c r="B57" s="5"/>
      <c r="F57" s="35" t="s">
        <v>147</v>
      </c>
      <c r="G57" s="31" t="s">
        <v>86</v>
      </c>
      <c r="H57" s="5"/>
      <c r="J57" s="5" t="s">
        <v>180</v>
      </c>
      <c r="K57" s="31" t="s">
        <v>179</v>
      </c>
    </row>
    <row r="58" spans="1:11" x14ac:dyDescent="0.25">
      <c r="A58" s="13">
        <f>A21+J12+D30</f>
        <v>2</v>
      </c>
      <c r="B58" s="2" t="s">
        <v>14</v>
      </c>
      <c r="F58" s="36">
        <f>G58*15</f>
        <v>45</v>
      </c>
      <c r="G58" s="27">
        <f>A45</f>
        <v>3</v>
      </c>
      <c r="H58" s="2" t="s">
        <v>4</v>
      </c>
      <c r="J58" s="15">
        <f>IF(MOD((A11),24)=0,(A11)/24,0)+IF(MOD((D20),24)=0,(D20)/24,0)+IF(MOD((J2),24)=0,(J2)/24,0)</f>
        <v>0</v>
      </c>
      <c r="K58" t="s">
        <v>41</v>
      </c>
    </row>
    <row r="59" spans="1:11" x14ac:dyDescent="0.25">
      <c r="A59" s="13">
        <f>A22+J13+D31</f>
        <v>2</v>
      </c>
      <c r="B59" s="2" t="s">
        <v>16</v>
      </c>
      <c r="F59" s="36">
        <f t="shared" ref="F59:F62" si="1">G59*15</f>
        <v>195</v>
      </c>
      <c r="G59" s="21">
        <f>A48</f>
        <v>13</v>
      </c>
      <c r="H59" s="2" t="s">
        <v>15</v>
      </c>
      <c r="J59" s="14">
        <f>IF(MOD((A12),24)=0,(A12)/24,0)+IF(MOD((D21),24)=0,(D21)/24,0)+IF(MOD((J3),24)=0,(J3)/24,0)</f>
        <v>0</v>
      </c>
      <c r="K59" t="s">
        <v>42</v>
      </c>
    </row>
    <row r="60" spans="1:11" x14ac:dyDescent="0.25">
      <c r="A60" s="13">
        <f>A23+J14+D32</f>
        <v>1</v>
      </c>
      <c r="B60" s="2" t="s">
        <v>17</v>
      </c>
      <c r="F60" s="36">
        <f>G60*10</f>
        <v>1020</v>
      </c>
      <c r="G60" s="30">
        <f>J45</f>
        <v>102</v>
      </c>
      <c r="H60" s="2" t="s">
        <v>8</v>
      </c>
      <c r="J60" s="13">
        <f>IF(MOD((A15),20)=0,(A15)/20,0)+IF(MOD((D24),20)=0,(D24)/20,0)+IF(MOD((J6),20)=0,(J6)/20,0)</f>
        <v>3</v>
      </c>
      <c r="K60" s="2" t="s">
        <v>6</v>
      </c>
    </row>
    <row r="61" spans="1:11" x14ac:dyDescent="0.25">
      <c r="A61" s="13">
        <f>A24+J15+D33</f>
        <v>1</v>
      </c>
      <c r="B61" s="2" t="s">
        <v>11</v>
      </c>
      <c r="F61" s="36">
        <f t="shared" si="1"/>
        <v>45</v>
      </c>
      <c r="G61" s="27">
        <f>A46</f>
        <v>3</v>
      </c>
      <c r="H61" s="2" t="s">
        <v>5</v>
      </c>
      <c r="J61" s="14">
        <f>IF(MOD((D4),24)=0,(D4)/24,0)+IF(MOD((J22),24)=0,(J22)/24,0)</f>
        <v>0</v>
      </c>
      <c r="K61" s="2" t="s">
        <v>45</v>
      </c>
    </row>
    <row r="62" spans="1:11" x14ac:dyDescent="0.25">
      <c r="A62" s="13">
        <f>A25+J16+D34+G23</f>
        <v>2</v>
      </c>
      <c r="B62" s="2" t="s">
        <v>12</v>
      </c>
      <c r="F62" s="36">
        <f t="shared" si="1"/>
        <v>30</v>
      </c>
      <c r="G62" s="21">
        <f>G45</f>
        <v>2</v>
      </c>
      <c r="H62" s="2" t="s">
        <v>30</v>
      </c>
      <c r="J62" s="14">
        <f t="shared" ref="J62" si="2">IF(MOD((D5),24)=0,(D5)/24,0)+IF(MOD((J23),24)=0,(J23)/24,0)</f>
        <v>0</v>
      </c>
      <c r="K62" s="2" t="s">
        <v>46</v>
      </c>
    </row>
    <row r="63" spans="1:11" x14ac:dyDescent="0.25">
      <c r="A63" s="13">
        <f>A26+J17+D35</f>
        <v>1</v>
      </c>
      <c r="B63" s="2" t="s">
        <v>13</v>
      </c>
      <c r="F63" s="36">
        <f>G63*5</f>
        <v>460</v>
      </c>
      <c r="G63" s="21">
        <f>A47</f>
        <v>92</v>
      </c>
      <c r="H63" s="2" t="s">
        <v>54</v>
      </c>
      <c r="J63" s="14">
        <f>IF(MOD((D7),13)=0,(D7)/13,0)+IF(MOD((J25),13)=0,(J25)/13,0)</f>
        <v>0</v>
      </c>
      <c r="K63" s="2" t="s">
        <v>145</v>
      </c>
    </row>
    <row r="64" spans="1:11" x14ac:dyDescent="0.25">
      <c r="A64" s="13">
        <f>A27+J18+D36</f>
        <v>1</v>
      </c>
      <c r="B64" s="2" t="s">
        <v>18</v>
      </c>
      <c r="F64" s="36">
        <f>G64*8</f>
        <v>64</v>
      </c>
      <c r="G64" s="21">
        <f>G46</f>
        <v>8</v>
      </c>
      <c r="H64" s="2" t="s">
        <v>145</v>
      </c>
      <c r="J64" s="14">
        <f>IF(MOD((A17),24)=0,(A17)/24,0)+IF(MOD((D9),24)=0,(D9)/24,0)+IF(MOD((D26),24)=0,(D26)/24,0)+IF(MOD((J8),24)=0,(J8)/24,0)+IF(MOD((J27),24)=0,(J27)/24,0)</f>
        <v>0</v>
      </c>
      <c r="K64" s="2" t="s">
        <v>7</v>
      </c>
    </row>
    <row r="65" spans="1:11" x14ac:dyDescent="0.25">
      <c r="A65" s="4"/>
      <c r="B65" s="4"/>
      <c r="I65" s="2"/>
      <c r="J65" s="14">
        <f>IF(MOD((A18),24)=0,(A18)/24,0)+IF(MOD((D27),24)=0,(D27)/24,0)+IF(MOD((J9),24)=0,(J9)/24,0)</f>
        <v>4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11:A12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15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7:A18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D4:D5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D7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D9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20:D21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24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26:D27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J2:J3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J6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J8:J9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N14" sqref="N14"/>
    </sheetView>
  </sheetViews>
  <sheetFormatPr defaultRowHeight="15" x14ac:dyDescent="0.25"/>
  <cols>
    <col min="1" max="1" width="6.42578125" customWidth="1"/>
    <col min="2" max="2" width="19.5703125" customWidth="1"/>
    <col min="3" max="3" width="5.140625" customWidth="1"/>
    <col min="4" max="4" width="5" customWidth="1"/>
    <col min="5" max="5" width="21.7109375" customWidth="1"/>
    <col min="6" max="6" width="5.71093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1.75" thickBot="1" x14ac:dyDescent="0.4">
      <c r="A1" s="68" t="s">
        <v>149</v>
      </c>
      <c r="B1" s="68"/>
      <c r="C1" s="67">
        <f>DATE(2024,1,1)+(Mon!B2-1)*7+2</f>
        <v>45420</v>
      </c>
      <c r="D1" s="67"/>
      <c r="E1" s="67"/>
      <c r="G1" s="64" t="s">
        <v>186</v>
      </c>
      <c r="H1" s="66">
        <f>Mon!C1+49-1</f>
        <v>45466</v>
      </c>
      <c r="J1" s="17" t="s">
        <v>122</v>
      </c>
      <c r="K1" s="17"/>
    </row>
    <row r="2" spans="1:11" x14ac:dyDescent="0.25">
      <c r="J2" s="40">
        <v>0</v>
      </c>
      <c r="K2" s="2" t="s">
        <v>41</v>
      </c>
    </row>
    <row r="3" spans="1:11" ht="13.35" customHeight="1" thickBot="1" x14ac:dyDescent="0.3">
      <c r="A3" s="17" t="s">
        <v>71</v>
      </c>
      <c r="B3" s="5"/>
      <c r="D3" s="17" t="s">
        <v>112</v>
      </c>
      <c r="E3" s="5"/>
      <c r="G3" s="17" t="s">
        <v>115</v>
      </c>
      <c r="H3" s="17"/>
      <c r="J3" s="40">
        <v>8</v>
      </c>
      <c r="K3" s="2" t="s">
        <v>42</v>
      </c>
    </row>
    <row r="4" spans="1:11" ht="13.35" customHeight="1" x14ac:dyDescent="0.25">
      <c r="A4" s="40">
        <v>0</v>
      </c>
      <c r="B4" s="29" t="s">
        <v>1</v>
      </c>
      <c r="D4" s="40">
        <v>2</v>
      </c>
      <c r="E4" s="2" t="s">
        <v>55</v>
      </c>
      <c r="G4" s="40">
        <v>2</v>
      </c>
      <c r="H4" s="2" t="s">
        <v>41</v>
      </c>
      <c r="J4" s="40">
        <v>10</v>
      </c>
      <c r="K4" s="2" t="s">
        <v>2</v>
      </c>
    </row>
    <row r="5" spans="1:11" ht="13.35" customHeight="1" x14ac:dyDescent="0.25">
      <c r="A5" s="25"/>
      <c r="B5" s="2"/>
      <c r="D5" s="40">
        <v>3</v>
      </c>
      <c r="E5" s="16" t="s">
        <v>187</v>
      </c>
      <c r="G5" s="40">
        <v>4</v>
      </c>
      <c r="H5" s="2" t="s">
        <v>42</v>
      </c>
      <c r="J5" s="40">
        <v>12</v>
      </c>
      <c r="K5" s="2" t="s">
        <v>6</v>
      </c>
    </row>
    <row r="6" spans="1:11" ht="13.35" customHeight="1" thickBot="1" x14ac:dyDescent="0.3">
      <c r="A6" s="17" t="s">
        <v>72</v>
      </c>
      <c r="B6" s="5"/>
      <c r="D6" s="40">
        <f>SUM(D4:D5)</f>
        <v>5</v>
      </c>
      <c r="E6" s="22" t="s">
        <v>35</v>
      </c>
      <c r="G6" s="40">
        <v>2</v>
      </c>
      <c r="H6" s="2" t="s">
        <v>5</v>
      </c>
      <c r="J6" s="40">
        <v>6</v>
      </c>
      <c r="K6" s="2" t="s">
        <v>47</v>
      </c>
    </row>
    <row r="7" spans="1:11" ht="13.35" customHeight="1" x14ac:dyDescent="0.25">
      <c r="A7" s="40">
        <v>3</v>
      </c>
      <c r="B7" s="29" t="s">
        <v>1</v>
      </c>
      <c r="G7" s="40">
        <v>4</v>
      </c>
      <c r="H7" s="16" t="s">
        <v>6</v>
      </c>
      <c r="J7" s="40">
        <v>5</v>
      </c>
      <c r="K7" s="2" t="s">
        <v>55</v>
      </c>
    </row>
    <row r="8" spans="1:11" ht="13.35" customHeight="1" x14ac:dyDescent="0.25">
      <c r="A8" s="24"/>
      <c r="B8" s="2"/>
      <c r="G8" s="40">
        <f>SUM(G4:G7)</f>
        <v>12</v>
      </c>
      <c r="H8" s="22" t="s">
        <v>35</v>
      </c>
      <c r="J8" s="40">
        <v>6</v>
      </c>
      <c r="K8" s="2" t="s">
        <v>44</v>
      </c>
    </row>
    <row r="9" spans="1:11" ht="13.35" customHeight="1" thickBot="1" x14ac:dyDescent="0.3">
      <c r="A9" s="17" t="s">
        <v>73</v>
      </c>
      <c r="B9" s="17"/>
      <c r="D9" s="17" t="s">
        <v>150</v>
      </c>
      <c r="E9" s="17"/>
      <c r="J9" s="40">
        <v>8</v>
      </c>
      <c r="K9" s="2" t="s">
        <v>78</v>
      </c>
    </row>
    <row r="10" spans="1:11" ht="13.35" customHeight="1" x14ac:dyDescent="0.25">
      <c r="A10" s="40">
        <v>1</v>
      </c>
      <c r="B10" s="2" t="s">
        <v>41</v>
      </c>
      <c r="D10" s="40">
        <v>0</v>
      </c>
      <c r="E10" s="2" t="s">
        <v>41</v>
      </c>
      <c r="J10" s="40">
        <v>0</v>
      </c>
      <c r="K10" s="2" t="s">
        <v>11</v>
      </c>
    </row>
    <row r="11" spans="1:11" ht="13.35" customHeight="1" thickBot="1" x14ac:dyDescent="0.3">
      <c r="A11" s="40">
        <v>13</v>
      </c>
      <c r="B11" s="2" t="s">
        <v>42</v>
      </c>
      <c r="D11" s="40">
        <v>8</v>
      </c>
      <c r="E11" s="2" t="s">
        <v>42</v>
      </c>
      <c r="G11" s="17" t="s">
        <v>116</v>
      </c>
      <c r="H11" s="5"/>
      <c r="J11" s="40">
        <v>0</v>
      </c>
      <c r="K11" s="16" t="s">
        <v>12</v>
      </c>
    </row>
    <row r="12" spans="1:11" ht="13.35" customHeight="1" x14ac:dyDescent="0.25">
      <c r="A12" s="40">
        <v>3</v>
      </c>
      <c r="B12" s="2" t="s">
        <v>5</v>
      </c>
      <c r="D12" s="40">
        <v>1</v>
      </c>
      <c r="E12" s="2" t="s">
        <v>5</v>
      </c>
      <c r="G12" s="40">
        <v>2</v>
      </c>
      <c r="H12" s="29" t="s">
        <v>1</v>
      </c>
      <c r="J12" s="40">
        <f>SUM(J2:J11)</f>
        <v>55</v>
      </c>
      <c r="K12" s="22" t="s">
        <v>35</v>
      </c>
    </row>
    <row r="13" spans="1:11" ht="13.35" customHeight="1" x14ac:dyDescent="0.25">
      <c r="A13" s="40">
        <v>8</v>
      </c>
      <c r="B13" s="2" t="s">
        <v>9</v>
      </c>
      <c r="D13" s="40">
        <v>10</v>
      </c>
      <c r="E13" s="2" t="s">
        <v>6</v>
      </c>
    </row>
    <row r="14" spans="1:11" ht="13.35" customHeight="1" thickBot="1" x14ac:dyDescent="0.3">
      <c r="A14" s="40">
        <v>16</v>
      </c>
      <c r="B14" s="16" t="s">
        <v>7</v>
      </c>
      <c r="D14" s="40">
        <v>4</v>
      </c>
      <c r="E14" s="2" t="s">
        <v>9</v>
      </c>
      <c r="J14" s="17" t="s">
        <v>123</v>
      </c>
      <c r="K14" s="5"/>
    </row>
    <row r="15" spans="1:11" ht="13.35" customHeight="1" thickBot="1" x14ac:dyDescent="0.3">
      <c r="A15" s="40">
        <f>SUM(A10:A14)</f>
        <v>41</v>
      </c>
      <c r="B15" s="22" t="s">
        <v>35</v>
      </c>
      <c r="D15" s="40">
        <v>6</v>
      </c>
      <c r="E15" s="16" t="s">
        <v>7</v>
      </c>
      <c r="G15" s="17" t="s">
        <v>117</v>
      </c>
      <c r="H15" s="17"/>
      <c r="J15" s="40">
        <v>0</v>
      </c>
      <c r="K15" s="2" t="s">
        <v>55</v>
      </c>
    </row>
    <row r="16" spans="1:11" ht="13.35" customHeight="1" x14ac:dyDescent="0.25">
      <c r="B16" s="2"/>
      <c r="D16" s="40">
        <f>SUM(D10:D15)</f>
        <v>29</v>
      </c>
      <c r="E16" s="22" t="s">
        <v>35</v>
      </c>
      <c r="G16" s="40">
        <v>7</v>
      </c>
      <c r="H16" s="2" t="s">
        <v>41</v>
      </c>
      <c r="J16" s="40">
        <v>0</v>
      </c>
      <c r="K16" s="2" t="s">
        <v>44</v>
      </c>
    </row>
    <row r="17" spans="1:11" ht="13.35" customHeight="1" thickBot="1" x14ac:dyDescent="0.3">
      <c r="A17" s="17" t="s">
        <v>74</v>
      </c>
      <c r="B17" s="5"/>
      <c r="E17" s="2"/>
      <c r="F17" s="2"/>
      <c r="G17" s="40">
        <v>10</v>
      </c>
      <c r="H17" s="2" t="s">
        <v>42</v>
      </c>
      <c r="J17" s="40">
        <v>0</v>
      </c>
      <c r="K17" s="16" t="s">
        <v>2</v>
      </c>
    </row>
    <row r="18" spans="1:11" ht="13.35" customHeight="1" thickBot="1" x14ac:dyDescent="0.3">
      <c r="A18" s="40">
        <v>3</v>
      </c>
      <c r="B18" s="29" t="s">
        <v>1</v>
      </c>
      <c r="D18" s="17" t="s">
        <v>113</v>
      </c>
      <c r="E18" s="17"/>
      <c r="G18" s="40">
        <v>3</v>
      </c>
      <c r="H18" s="2" t="s">
        <v>5</v>
      </c>
      <c r="J18" s="40">
        <f>SUM(J15:J17)</f>
        <v>0</v>
      </c>
      <c r="K18" s="2" t="s">
        <v>35</v>
      </c>
    </row>
    <row r="19" spans="1:11" ht="13.35" customHeight="1" thickBot="1" x14ac:dyDescent="0.3">
      <c r="B19" s="2"/>
      <c r="D19" s="40">
        <v>4</v>
      </c>
      <c r="E19" s="2" t="s">
        <v>55</v>
      </c>
      <c r="G19" s="40">
        <v>15</v>
      </c>
      <c r="H19" s="2" t="s">
        <v>6</v>
      </c>
      <c r="J19" s="17" t="s">
        <v>124</v>
      </c>
      <c r="K19" s="5"/>
    </row>
    <row r="20" spans="1:11" ht="13.35" customHeight="1" thickBot="1" x14ac:dyDescent="0.3">
      <c r="A20" s="17" t="s">
        <v>75</v>
      </c>
      <c r="B20" s="5"/>
      <c r="D20" s="40">
        <v>8</v>
      </c>
      <c r="E20" s="2" t="s">
        <v>44</v>
      </c>
      <c r="G20" s="40">
        <v>0</v>
      </c>
      <c r="H20" s="2" t="s">
        <v>11</v>
      </c>
      <c r="J20" s="40">
        <v>2</v>
      </c>
      <c r="K20" s="2" t="s">
        <v>55</v>
      </c>
    </row>
    <row r="21" spans="1:11" ht="13.35" customHeight="1" x14ac:dyDescent="0.25">
      <c r="A21" s="40">
        <v>0</v>
      </c>
      <c r="B21" s="29" t="s">
        <v>1</v>
      </c>
      <c r="D21" s="40">
        <v>3</v>
      </c>
      <c r="E21" s="2" t="s">
        <v>2</v>
      </c>
      <c r="G21" s="40">
        <v>0</v>
      </c>
      <c r="H21" s="16" t="s">
        <v>12</v>
      </c>
      <c r="J21" s="40">
        <v>3</v>
      </c>
      <c r="K21" s="2" t="s">
        <v>44</v>
      </c>
    </row>
    <row r="22" spans="1:11" ht="13.35" customHeight="1" x14ac:dyDescent="0.25">
      <c r="A22" s="22"/>
      <c r="B22" s="22"/>
      <c r="D22" s="40">
        <v>0</v>
      </c>
      <c r="E22" s="2" t="s">
        <v>1</v>
      </c>
      <c r="G22" s="40">
        <f>SUM(G16:G21)</f>
        <v>35</v>
      </c>
      <c r="H22" s="22" t="s">
        <v>35</v>
      </c>
      <c r="J22" s="40">
        <v>0</v>
      </c>
      <c r="K22" s="16" t="s">
        <v>2</v>
      </c>
    </row>
    <row r="23" spans="1:11" ht="13.35" customHeight="1" thickBot="1" x14ac:dyDescent="0.3">
      <c r="A23" s="17" t="s">
        <v>76</v>
      </c>
      <c r="B23" s="5"/>
      <c r="D23" s="40">
        <v>0</v>
      </c>
      <c r="E23" s="2" t="s">
        <v>6</v>
      </c>
      <c r="H23" s="2"/>
      <c r="J23" s="40">
        <f>SUM(J20:J22)</f>
        <v>5</v>
      </c>
      <c r="K23" s="22" t="s">
        <v>35</v>
      </c>
    </row>
    <row r="24" spans="1:11" ht="13.35" customHeight="1" x14ac:dyDescent="0.25">
      <c r="A24" s="40">
        <v>1</v>
      </c>
      <c r="B24" s="29" t="s">
        <v>0</v>
      </c>
      <c r="D24" s="40">
        <v>0</v>
      </c>
      <c r="E24" s="2" t="s">
        <v>11</v>
      </c>
      <c r="K24" s="2"/>
    </row>
    <row r="25" spans="1:11" ht="13.35" customHeight="1" thickBot="1" x14ac:dyDescent="0.3">
      <c r="B25" s="2"/>
      <c r="D25" s="40">
        <v>0</v>
      </c>
      <c r="E25" s="16" t="s">
        <v>12</v>
      </c>
      <c r="G25" s="17" t="s">
        <v>118</v>
      </c>
      <c r="H25" s="5"/>
      <c r="J25" s="17" t="s">
        <v>125</v>
      </c>
      <c r="K25" s="17"/>
    </row>
    <row r="26" spans="1:11" ht="13.35" customHeight="1" thickBot="1" x14ac:dyDescent="0.3">
      <c r="A26" s="17" t="s">
        <v>77</v>
      </c>
      <c r="B26" s="5"/>
      <c r="D26" s="40">
        <f>SUM(D19:D25)</f>
        <v>15</v>
      </c>
      <c r="E26" s="22" t="s">
        <v>35</v>
      </c>
      <c r="G26" s="40">
        <v>0</v>
      </c>
      <c r="H26" s="2" t="s">
        <v>44</v>
      </c>
      <c r="J26" s="40">
        <v>0</v>
      </c>
      <c r="K26" s="2" t="s">
        <v>41</v>
      </c>
    </row>
    <row r="27" spans="1:11" ht="13.35" customHeight="1" x14ac:dyDescent="0.25">
      <c r="A27" s="40">
        <v>0</v>
      </c>
      <c r="B27" s="29" t="s">
        <v>1</v>
      </c>
      <c r="E27" s="2"/>
      <c r="G27" s="40">
        <v>0</v>
      </c>
      <c r="H27" s="16" t="s">
        <v>1</v>
      </c>
      <c r="J27" s="40">
        <v>4</v>
      </c>
      <c r="K27" s="2" t="s">
        <v>42</v>
      </c>
    </row>
    <row r="28" spans="1:11" ht="13.35" customHeight="1" thickBot="1" x14ac:dyDescent="0.3">
      <c r="D28" s="31" t="s">
        <v>114</v>
      </c>
      <c r="E28" s="5"/>
      <c r="G28" s="40">
        <f>SUM(G26:G27)</f>
        <v>0</v>
      </c>
      <c r="H28" s="22" t="s">
        <v>35</v>
      </c>
      <c r="J28" s="40">
        <v>0</v>
      </c>
      <c r="K28" s="2" t="s">
        <v>5</v>
      </c>
    </row>
    <row r="29" spans="1:11" ht="13.35" customHeight="1" thickBot="1" x14ac:dyDescent="0.3">
      <c r="A29" s="17" t="s">
        <v>110</v>
      </c>
      <c r="B29" s="5"/>
      <c r="D29" s="40">
        <v>0</v>
      </c>
      <c r="E29" s="2" t="s">
        <v>45</v>
      </c>
      <c r="H29" s="2"/>
      <c r="J29" s="40">
        <v>0</v>
      </c>
      <c r="K29" s="2" t="s">
        <v>6</v>
      </c>
    </row>
    <row r="30" spans="1:11" ht="13.35" customHeight="1" thickBot="1" x14ac:dyDescent="0.3">
      <c r="A30" s="40">
        <v>0</v>
      </c>
      <c r="B30" s="29" t="s">
        <v>0</v>
      </c>
      <c r="D30" s="40">
        <v>8</v>
      </c>
      <c r="E30" s="2" t="s">
        <v>126</v>
      </c>
      <c r="G30" s="17" t="s">
        <v>119</v>
      </c>
      <c r="H30" s="5"/>
      <c r="J30" s="40">
        <v>2</v>
      </c>
      <c r="K30" s="2" t="s">
        <v>47</v>
      </c>
    </row>
    <row r="31" spans="1:11" ht="13.35" customHeight="1" x14ac:dyDescent="0.25">
      <c r="D31" s="40">
        <v>4</v>
      </c>
      <c r="E31" s="16" t="s">
        <v>33</v>
      </c>
      <c r="G31" s="40">
        <v>0</v>
      </c>
      <c r="H31" s="29" t="s">
        <v>44</v>
      </c>
      <c r="J31" s="40">
        <v>4</v>
      </c>
      <c r="K31" s="16" t="s">
        <v>78</v>
      </c>
    </row>
    <row r="32" spans="1:11" ht="13.35" customHeight="1" thickBot="1" x14ac:dyDescent="0.3">
      <c r="A32" s="17" t="s">
        <v>111</v>
      </c>
      <c r="B32" s="5"/>
      <c r="D32" s="40">
        <f>SUM(D29:D31)</f>
        <v>12</v>
      </c>
      <c r="E32" s="22" t="s">
        <v>35</v>
      </c>
      <c r="J32" s="40">
        <f>SUM(J26:J31)</f>
        <v>10</v>
      </c>
      <c r="K32" s="22" t="s">
        <v>35</v>
      </c>
    </row>
    <row r="33" spans="1:11" ht="13.35" customHeight="1" thickBot="1" x14ac:dyDescent="0.3">
      <c r="A33" s="40">
        <v>0</v>
      </c>
      <c r="B33" s="2" t="s">
        <v>44</v>
      </c>
      <c r="G33" s="17" t="s">
        <v>120</v>
      </c>
      <c r="H33" s="5"/>
    </row>
    <row r="34" spans="1:11" ht="13.35" customHeight="1" thickBot="1" x14ac:dyDescent="0.3">
      <c r="A34" s="40">
        <v>3</v>
      </c>
      <c r="B34" s="16" t="s">
        <v>1</v>
      </c>
      <c r="G34" s="40">
        <v>0</v>
      </c>
      <c r="H34" s="29" t="s">
        <v>1</v>
      </c>
      <c r="J34" s="17" t="s">
        <v>79</v>
      </c>
      <c r="K34" s="5"/>
    </row>
    <row r="35" spans="1:11" ht="13.35" customHeight="1" x14ac:dyDescent="0.25">
      <c r="A35" s="40">
        <f>SUM(A33:A34)</f>
        <v>3</v>
      </c>
      <c r="B35" s="22" t="s">
        <v>35</v>
      </c>
      <c r="H35" s="2"/>
      <c r="J35" s="40">
        <v>2</v>
      </c>
      <c r="K35" s="2" t="s">
        <v>44</v>
      </c>
    </row>
    <row r="36" spans="1:11" ht="13.35" customHeight="1" thickBot="1" x14ac:dyDescent="0.3">
      <c r="G36" s="17" t="s">
        <v>121</v>
      </c>
      <c r="H36" s="5"/>
      <c r="J36" s="40">
        <v>1</v>
      </c>
      <c r="K36" s="16" t="s">
        <v>2</v>
      </c>
    </row>
    <row r="37" spans="1:11" ht="13.35" customHeight="1" x14ac:dyDescent="0.25">
      <c r="C37" s="23"/>
      <c r="F37" s="1"/>
      <c r="G37" s="40">
        <v>0</v>
      </c>
      <c r="H37" s="29" t="s">
        <v>0</v>
      </c>
      <c r="J37" s="40">
        <f>SUM(J35:J36)</f>
        <v>3</v>
      </c>
      <c r="K37" s="22" t="s">
        <v>35</v>
      </c>
    </row>
    <row r="38" spans="1:11" ht="24.95" customHeight="1" x14ac:dyDescent="0.35">
      <c r="A38" s="19" t="s">
        <v>85</v>
      </c>
    </row>
    <row r="39" spans="1:11" ht="13.35" customHeight="1" x14ac:dyDescent="0.25"/>
    <row r="40" spans="1:11" ht="15.75" thickBot="1" x14ac:dyDescent="0.3">
      <c r="A40" s="31" t="s">
        <v>80</v>
      </c>
      <c r="B40" s="5"/>
      <c r="C40" s="39" t="s">
        <v>147</v>
      </c>
      <c r="D40" s="31" t="s">
        <v>81</v>
      </c>
      <c r="E40" s="5"/>
      <c r="G40" s="31" t="s">
        <v>82</v>
      </c>
      <c r="H40" s="5"/>
      <c r="J40" s="31" t="s">
        <v>83</v>
      </c>
      <c r="K40" s="5"/>
    </row>
    <row r="41" spans="1:11" x14ac:dyDescent="0.25">
      <c r="A41" s="32">
        <f>A10+D10+G4+G16+J2+J26+J26</f>
        <v>10</v>
      </c>
      <c r="B41" s="2" t="s">
        <v>41</v>
      </c>
      <c r="C41" s="36">
        <f>D41*15</f>
        <v>0</v>
      </c>
      <c r="D41" s="15"/>
      <c r="E41" s="2" t="s">
        <v>19</v>
      </c>
      <c r="G41" s="13">
        <f>D29</f>
        <v>0</v>
      </c>
      <c r="H41" s="2" t="s">
        <v>45</v>
      </c>
      <c r="J41" s="13">
        <f>A13+D14+J6+J30</f>
        <v>20</v>
      </c>
      <c r="K41" s="2" t="s">
        <v>9</v>
      </c>
    </row>
    <row r="42" spans="1:11" x14ac:dyDescent="0.25">
      <c r="A42" s="27">
        <f>A11+D11+G5+G17+J3+J27+J27</f>
        <v>51</v>
      </c>
      <c r="B42" s="2" t="s">
        <v>42</v>
      </c>
      <c r="C42" s="36">
        <f t="shared" ref="C42:C48" si="0">D42*15</f>
        <v>0</v>
      </c>
      <c r="D42" s="14"/>
      <c r="E42" s="2" t="s">
        <v>20</v>
      </c>
      <c r="G42" s="13">
        <f>D30</f>
        <v>8</v>
      </c>
      <c r="H42" s="2" t="s">
        <v>46</v>
      </c>
      <c r="J42" s="13">
        <f>A14+D15+J9+J31</f>
        <v>34</v>
      </c>
      <c r="K42" s="2" t="s">
        <v>7</v>
      </c>
    </row>
    <row r="43" spans="1:11" x14ac:dyDescent="0.25">
      <c r="A43" s="27"/>
      <c r="B43" s="2" t="s">
        <v>4</v>
      </c>
      <c r="C43" s="36">
        <f t="shared" si="0"/>
        <v>0</v>
      </c>
      <c r="D43" s="14"/>
      <c r="E43" s="2" t="s">
        <v>27</v>
      </c>
      <c r="G43" s="13">
        <f>D31</f>
        <v>4</v>
      </c>
      <c r="H43" s="2" t="s">
        <v>30</v>
      </c>
      <c r="J43" s="13"/>
      <c r="K43" s="2" t="s">
        <v>8</v>
      </c>
    </row>
    <row r="44" spans="1:11" x14ac:dyDescent="0.25">
      <c r="A44" s="27">
        <f>A12+D12+G6+G18+J4+J28+J28</f>
        <v>19</v>
      </c>
      <c r="B44" s="2" t="s">
        <v>5</v>
      </c>
      <c r="C44" s="36">
        <f t="shared" si="0"/>
        <v>0</v>
      </c>
      <c r="D44" s="14"/>
      <c r="E44" s="2" t="s">
        <v>21</v>
      </c>
      <c r="G44" s="14"/>
      <c r="H44" s="2" t="s">
        <v>144</v>
      </c>
      <c r="J44" s="13">
        <f>D4+D19+J7+J15+J20</f>
        <v>13</v>
      </c>
      <c r="K44" s="2" t="s">
        <v>55</v>
      </c>
    </row>
    <row r="45" spans="1:11" x14ac:dyDescent="0.25">
      <c r="A45" s="27">
        <f>D13+D23+G7+G19+J5+J29+J29</f>
        <v>41</v>
      </c>
      <c r="B45" s="2" t="s">
        <v>6</v>
      </c>
      <c r="C45" s="36">
        <f>D45*12</f>
        <v>0</v>
      </c>
      <c r="D45" s="14"/>
      <c r="E45" s="2" t="s">
        <v>23</v>
      </c>
      <c r="J45" s="13">
        <f>A33+D20+G26+G31+J8+J16+J21+J35</f>
        <v>19</v>
      </c>
      <c r="K45" s="2" t="s">
        <v>44</v>
      </c>
    </row>
    <row r="46" spans="1:11" x14ac:dyDescent="0.25">
      <c r="A46" s="33"/>
      <c r="B46" s="2" t="s">
        <v>15</v>
      </c>
      <c r="C46" s="36">
        <f>D46*10</f>
        <v>0</v>
      </c>
      <c r="D46" s="14"/>
      <c r="E46" s="2" t="s">
        <v>22</v>
      </c>
      <c r="J46" s="13">
        <f>D21+J17+J22+J36</f>
        <v>4</v>
      </c>
      <c r="K46" s="2" t="s">
        <v>2</v>
      </c>
    </row>
    <row r="47" spans="1:11" x14ac:dyDescent="0.25">
      <c r="B47" s="2"/>
      <c r="C47" s="36">
        <f t="shared" si="0"/>
        <v>0</v>
      </c>
      <c r="D47" s="14"/>
      <c r="E47" s="2" t="s">
        <v>24</v>
      </c>
      <c r="J47" s="14">
        <f>A4+A7+A18+A21+A27+A34+D5+D22+G12+G27+G34</f>
        <v>14</v>
      </c>
      <c r="K47" s="2" t="s">
        <v>1</v>
      </c>
    </row>
    <row r="48" spans="1:11" x14ac:dyDescent="0.25">
      <c r="B48" s="2"/>
      <c r="C48" s="36">
        <f t="shared" si="0"/>
        <v>0</v>
      </c>
      <c r="D48" s="14"/>
      <c r="E48" s="2" t="s">
        <v>25</v>
      </c>
      <c r="J48" s="14">
        <f>A24+G37+A30</f>
        <v>1</v>
      </c>
      <c r="K48" s="2" t="s">
        <v>0</v>
      </c>
    </row>
    <row r="49" spans="1:8" x14ac:dyDescent="0.25">
      <c r="B49" s="2"/>
      <c r="C49" s="36">
        <f>D49*8</f>
        <v>0</v>
      </c>
      <c r="D49" s="14"/>
      <c r="E49" s="2" t="s">
        <v>26</v>
      </c>
    </row>
    <row r="50" spans="1:8" x14ac:dyDescent="0.25">
      <c r="C50" s="36">
        <f>D50*8</f>
        <v>0</v>
      </c>
      <c r="D50" s="14"/>
      <c r="E50" s="2" t="s">
        <v>28</v>
      </c>
    </row>
    <row r="55" spans="1:8" ht="15.75" thickBot="1" x14ac:dyDescent="0.3">
      <c r="A55" s="31" t="s">
        <v>84</v>
      </c>
      <c r="B55" s="5"/>
      <c r="F55" s="35" t="s">
        <v>147</v>
      </c>
      <c r="G55" s="31" t="s">
        <v>86</v>
      </c>
      <c r="H55" s="5"/>
    </row>
    <row r="56" spans="1:8" x14ac:dyDescent="0.25">
      <c r="A56" s="13"/>
      <c r="B56" s="2" t="s">
        <v>14</v>
      </c>
      <c r="F56" s="36">
        <f>G56*15</f>
        <v>0</v>
      </c>
      <c r="G56" s="27">
        <f>A43</f>
        <v>0</v>
      </c>
      <c r="H56" s="2" t="s">
        <v>4</v>
      </c>
    </row>
    <row r="57" spans="1:8" x14ac:dyDescent="0.25">
      <c r="A57" s="13"/>
      <c r="B57" s="2" t="s">
        <v>16</v>
      </c>
      <c r="F57" s="36">
        <f t="shared" ref="F57:F60" si="1">G57*15</f>
        <v>0</v>
      </c>
      <c r="G57" s="21">
        <f>A46</f>
        <v>0</v>
      </c>
      <c r="H57" s="2" t="s">
        <v>15</v>
      </c>
    </row>
    <row r="58" spans="1:8" x14ac:dyDescent="0.25">
      <c r="A58" s="13"/>
      <c r="B58" s="2" t="s">
        <v>17</v>
      </c>
      <c r="F58" s="36">
        <f>G58*10</f>
        <v>0</v>
      </c>
      <c r="G58" s="30">
        <f>J43</f>
        <v>0</v>
      </c>
      <c r="H58" s="2" t="s">
        <v>8</v>
      </c>
    </row>
    <row r="59" spans="1:8" x14ac:dyDescent="0.25">
      <c r="A59" s="13">
        <f>D24+G20+J10</f>
        <v>0</v>
      </c>
      <c r="B59" s="2" t="s">
        <v>11</v>
      </c>
      <c r="F59" s="36">
        <f t="shared" si="1"/>
        <v>285</v>
      </c>
      <c r="G59" s="27">
        <f>A44</f>
        <v>19</v>
      </c>
      <c r="H59" s="2" t="s">
        <v>5</v>
      </c>
    </row>
    <row r="60" spans="1:8" x14ac:dyDescent="0.25">
      <c r="A60" s="13">
        <f>D25+G21+J11</f>
        <v>0</v>
      </c>
      <c r="B60" s="2" t="s">
        <v>12</v>
      </c>
      <c r="F60" s="36">
        <f t="shared" si="1"/>
        <v>60</v>
      </c>
      <c r="G60" s="21">
        <f>G43</f>
        <v>4</v>
      </c>
      <c r="H60" s="2" t="s">
        <v>30</v>
      </c>
    </row>
    <row r="61" spans="1:8" x14ac:dyDescent="0.25">
      <c r="A61" s="13"/>
      <c r="B61" s="2" t="s">
        <v>13</v>
      </c>
      <c r="F61" s="36">
        <f>G61*5</f>
        <v>205</v>
      </c>
      <c r="G61" s="21">
        <f>A45</f>
        <v>41</v>
      </c>
      <c r="H61" s="2" t="s">
        <v>54</v>
      </c>
    </row>
    <row r="62" spans="1:8" x14ac:dyDescent="0.25">
      <c r="A62" s="13"/>
      <c r="B62" s="2" t="s">
        <v>18</v>
      </c>
      <c r="F62" s="36">
        <f>G62*8</f>
        <v>0</v>
      </c>
      <c r="G62" s="21">
        <f>G44</f>
        <v>0</v>
      </c>
      <c r="H62" s="2" t="s">
        <v>145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H20" sqref="H20"/>
    </sheetView>
  </sheetViews>
  <sheetFormatPr defaultRowHeight="15" x14ac:dyDescent="0.25"/>
  <cols>
    <col min="1" max="1" width="6.42578125" customWidth="1"/>
    <col min="2" max="2" width="19.5703125" customWidth="1"/>
    <col min="3" max="3" width="5.140625" customWidth="1"/>
    <col min="4" max="4" width="5" customWidth="1"/>
    <col min="5" max="5" width="21.7109375" customWidth="1"/>
    <col min="6" max="6" width="5.71093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68" t="s">
        <v>149</v>
      </c>
      <c r="B1" s="68"/>
      <c r="C1" s="67">
        <f>DATE(2024,1,1)+(Mon!B2-1)*7+3</f>
        <v>45421</v>
      </c>
      <c r="D1" s="67"/>
      <c r="E1" s="67"/>
      <c r="F1" s="1"/>
      <c r="G1" s="64" t="s">
        <v>186</v>
      </c>
      <c r="H1" s="66">
        <f>Mon!C1+49-1</f>
        <v>45466</v>
      </c>
      <c r="K1" s="19" t="s">
        <v>38</v>
      </c>
    </row>
    <row r="3" spans="1:11" ht="15.75" thickBot="1" x14ac:dyDescent="0.3">
      <c r="A3" s="17" t="s">
        <v>39</v>
      </c>
      <c r="B3" s="17"/>
      <c r="D3" s="17" t="s">
        <v>127</v>
      </c>
      <c r="E3" s="5"/>
      <c r="G3" s="18" t="s">
        <v>130</v>
      </c>
      <c r="H3" s="5"/>
      <c r="J3" s="17" t="s">
        <v>131</v>
      </c>
      <c r="K3" s="17"/>
    </row>
    <row r="4" spans="1:11" x14ac:dyDescent="0.25">
      <c r="A4" s="40">
        <v>1</v>
      </c>
      <c r="B4" s="2" t="s">
        <v>41</v>
      </c>
      <c r="D4" s="40">
        <v>2</v>
      </c>
      <c r="E4" t="s">
        <v>1</v>
      </c>
      <c r="G4" s="40">
        <v>0</v>
      </c>
      <c r="H4" s="2" t="s">
        <v>19</v>
      </c>
      <c r="J4" s="40">
        <v>12</v>
      </c>
      <c r="K4" s="2" t="s">
        <v>29</v>
      </c>
    </row>
    <row r="5" spans="1:11" x14ac:dyDescent="0.25">
      <c r="A5" s="40">
        <v>24</v>
      </c>
      <c r="B5" s="2" t="s">
        <v>42</v>
      </c>
      <c r="G5" s="40">
        <v>0</v>
      </c>
      <c r="H5" s="2" t="s">
        <v>20</v>
      </c>
      <c r="J5" s="40">
        <v>0</v>
      </c>
      <c r="K5" s="2" t="s">
        <v>30</v>
      </c>
    </row>
    <row r="6" spans="1:11" ht="15.75" thickBot="1" x14ac:dyDescent="0.3">
      <c r="A6" s="40">
        <v>0</v>
      </c>
      <c r="B6" s="2" t="s">
        <v>4</v>
      </c>
      <c r="D6" s="20" t="s">
        <v>128</v>
      </c>
      <c r="E6" s="5"/>
      <c r="G6" s="40">
        <v>0</v>
      </c>
      <c r="H6" s="2" t="s">
        <v>27</v>
      </c>
      <c r="J6" s="40">
        <v>0</v>
      </c>
      <c r="K6" s="16" t="s">
        <v>12</v>
      </c>
    </row>
    <row r="7" spans="1:11" x14ac:dyDescent="0.25">
      <c r="A7" s="40">
        <v>1</v>
      </c>
      <c r="B7" s="2" t="s">
        <v>5</v>
      </c>
      <c r="D7" s="40">
        <v>0</v>
      </c>
      <c r="E7" s="2" t="s">
        <v>3</v>
      </c>
      <c r="G7" s="40">
        <v>0</v>
      </c>
      <c r="H7" s="2" t="s">
        <v>21</v>
      </c>
      <c r="J7" s="40">
        <f>SUM(J4:J6)</f>
        <v>12</v>
      </c>
      <c r="K7" s="22" t="s">
        <v>35</v>
      </c>
    </row>
    <row r="8" spans="1:11" x14ac:dyDescent="0.25">
      <c r="A8" s="70">
        <v>25</v>
      </c>
      <c r="B8" s="2" t="s">
        <v>6</v>
      </c>
      <c r="D8" s="40">
        <v>6</v>
      </c>
      <c r="E8" s="2" t="s">
        <v>40</v>
      </c>
      <c r="G8" s="40">
        <v>0</v>
      </c>
      <c r="H8" s="2" t="s">
        <v>23</v>
      </c>
    </row>
    <row r="9" spans="1:11" x14ac:dyDescent="0.25">
      <c r="A9" s="40">
        <v>5</v>
      </c>
      <c r="B9" s="2" t="s">
        <v>9</v>
      </c>
      <c r="D9" s="40">
        <v>0</v>
      </c>
      <c r="E9" s="2" t="s">
        <v>4</v>
      </c>
      <c r="G9" s="40">
        <v>0</v>
      </c>
      <c r="H9" s="2" t="s">
        <v>22</v>
      </c>
    </row>
    <row r="10" spans="1:11" ht="15.75" thickBot="1" x14ac:dyDescent="0.3">
      <c r="A10" s="40">
        <v>24</v>
      </c>
      <c r="B10" s="2" t="s">
        <v>7</v>
      </c>
      <c r="D10" s="40">
        <v>1</v>
      </c>
      <c r="E10" s="2" t="s">
        <v>5</v>
      </c>
      <c r="G10" s="40">
        <v>0</v>
      </c>
      <c r="H10" s="2" t="s">
        <v>24</v>
      </c>
      <c r="J10" s="17" t="s">
        <v>138</v>
      </c>
      <c r="K10" s="5"/>
    </row>
    <row r="11" spans="1:11" x14ac:dyDescent="0.25">
      <c r="A11" s="40">
        <v>24</v>
      </c>
      <c r="B11" s="2" t="s">
        <v>8</v>
      </c>
      <c r="D11" s="40">
        <v>3</v>
      </c>
      <c r="E11" s="2" t="s">
        <v>9</v>
      </c>
      <c r="G11" s="40">
        <v>0</v>
      </c>
      <c r="H11" s="2" t="s">
        <v>25</v>
      </c>
      <c r="J11" s="40">
        <v>1</v>
      </c>
      <c r="K11" t="s">
        <v>1</v>
      </c>
    </row>
    <row r="12" spans="1:11" x14ac:dyDescent="0.25">
      <c r="A12" s="40">
        <v>0</v>
      </c>
      <c r="B12" s="2" t="s">
        <v>44</v>
      </c>
      <c r="D12" s="40">
        <v>8</v>
      </c>
      <c r="E12" s="2" t="s">
        <v>7</v>
      </c>
      <c r="G12" s="40">
        <v>0</v>
      </c>
      <c r="H12" s="2" t="s">
        <v>26</v>
      </c>
    </row>
    <row r="13" spans="1:11" x14ac:dyDescent="0.25">
      <c r="A13" s="40">
        <v>1</v>
      </c>
      <c r="B13" s="2" t="s">
        <v>15</v>
      </c>
      <c r="D13" s="40">
        <v>0</v>
      </c>
      <c r="E13" s="16" t="s">
        <v>8</v>
      </c>
      <c r="G13" s="40">
        <v>0</v>
      </c>
      <c r="H13" s="16" t="s">
        <v>28</v>
      </c>
    </row>
    <row r="14" spans="1:11" ht="15.75" thickBot="1" x14ac:dyDescent="0.3">
      <c r="A14" s="40">
        <v>0</v>
      </c>
      <c r="B14" s="2" t="s">
        <v>14</v>
      </c>
      <c r="D14" s="40">
        <f>SUM(D7:D13)</f>
        <v>18</v>
      </c>
      <c r="E14" s="22" t="s">
        <v>35</v>
      </c>
      <c r="G14" s="40">
        <f>SUM(G4:G13)</f>
        <v>0</v>
      </c>
      <c r="H14" s="22" t="s">
        <v>35</v>
      </c>
      <c r="J14" s="17" t="s">
        <v>139</v>
      </c>
      <c r="K14" s="5"/>
    </row>
    <row r="15" spans="1:11" x14ac:dyDescent="0.25">
      <c r="A15" s="40">
        <v>1</v>
      </c>
      <c r="B15" s="2" t="s">
        <v>16</v>
      </c>
      <c r="E15" s="2"/>
      <c r="F15" s="3"/>
      <c r="H15" s="2"/>
      <c r="J15" s="40">
        <v>0</v>
      </c>
      <c r="K15" t="s">
        <v>1</v>
      </c>
    </row>
    <row r="16" spans="1:11" ht="15.75" thickBot="1" x14ac:dyDescent="0.3">
      <c r="A16" s="40">
        <v>1</v>
      </c>
      <c r="B16" s="2" t="s">
        <v>17</v>
      </c>
      <c r="D16" s="20" t="s">
        <v>129</v>
      </c>
      <c r="E16" s="5"/>
      <c r="G16" s="2" t="s">
        <v>36</v>
      </c>
      <c r="H16" s="16"/>
    </row>
    <row r="17" spans="1:9" x14ac:dyDescent="0.25">
      <c r="A17" s="40">
        <v>0</v>
      </c>
      <c r="B17" s="2" t="s">
        <v>11</v>
      </c>
      <c r="D17" s="40">
        <v>1</v>
      </c>
      <c r="E17" s="2" t="s">
        <v>45</v>
      </c>
    </row>
    <row r="18" spans="1:9" x14ac:dyDescent="0.25">
      <c r="A18" s="40">
        <v>0</v>
      </c>
      <c r="B18" s="2" t="s">
        <v>12</v>
      </c>
      <c r="D18" s="40">
        <v>0</v>
      </c>
      <c r="E18" s="2" t="s">
        <v>46</v>
      </c>
      <c r="I18" s="4"/>
    </row>
    <row r="19" spans="1:9" x14ac:dyDescent="0.25">
      <c r="A19" s="40">
        <v>1</v>
      </c>
      <c r="B19" s="2" t="s">
        <v>13</v>
      </c>
      <c r="D19" s="40">
        <v>0</v>
      </c>
      <c r="E19" s="2" t="s">
        <v>30</v>
      </c>
      <c r="I19" s="4"/>
    </row>
    <row r="20" spans="1:9" x14ac:dyDescent="0.25">
      <c r="A20" s="40">
        <v>0</v>
      </c>
      <c r="B20" s="16" t="s">
        <v>18</v>
      </c>
      <c r="D20" s="40">
        <v>0</v>
      </c>
      <c r="E20" s="2" t="s">
        <v>145</v>
      </c>
      <c r="I20" s="2"/>
    </row>
    <row r="21" spans="1:9" x14ac:dyDescent="0.25">
      <c r="A21" s="40">
        <f>SUM(A4:A20)</f>
        <v>108</v>
      </c>
      <c r="B21" s="22" t="s">
        <v>35</v>
      </c>
      <c r="D21" s="40">
        <v>15</v>
      </c>
      <c r="E21" s="2" t="s">
        <v>7</v>
      </c>
      <c r="I21" s="2"/>
    </row>
    <row r="22" spans="1:9" x14ac:dyDescent="0.25">
      <c r="D22" s="40">
        <v>4</v>
      </c>
      <c r="E22" s="16" t="s">
        <v>47</v>
      </c>
      <c r="I22" s="2"/>
    </row>
    <row r="23" spans="1:9" x14ac:dyDescent="0.25">
      <c r="D23" s="40">
        <f>SUM(D17:D22)</f>
        <v>20</v>
      </c>
      <c r="E23" s="22" t="s">
        <v>35</v>
      </c>
    </row>
    <row r="24" spans="1:9" x14ac:dyDescent="0.25">
      <c r="H24" s="2"/>
    </row>
    <row r="26" spans="1:9" x14ac:dyDescent="0.25">
      <c r="D26" s="2" t="s">
        <v>36</v>
      </c>
      <c r="E26" s="16">
        <v>4867923460</v>
      </c>
    </row>
    <row r="35" spans="1:11" ht="21.75" thickBot="1" x14ac:dyDescent="0.4">
      <c r="A35" s="68" t="s">
        <v>149</v>
      </c>
      <c r="B35" s="68"/>
      <c r="C35" s="67">
        <f>C1</f>
        <v>45421</v>
      </c>
      <c r="D35" s="67"/>
      <c r="E35" s="67"/>
      <c r="G35" s="64" t="s">
        <v>186</v>
      </c>
      <c r="K35" s="19" t="s">
        <v>37</v>
      </c>
    </row>
    <row r="37" spans="1:11" ht="15.75" thickBot="1" x14ac:dyDescent="0.3">
      <c r="A37" s="17" t="s">
        <v>132</v>
      </c>
      <c r="B37" s="17"/>
      <c r="D37" s="17" t="s">
        <v>133</v>
      </c>
      <c r="E37" s="17"/>
      <c r="G37" s="17" t="s">
        <v>188</v>
      </c>
      <c r="H37" s="17"/>
      <c r="J37" s="18" t="s">
        <v>136</v>
      </c>
      <c r="K37" s="5"/>
    </row>
    <row r="38" spans="1:11" x14ac:dyDescent="0.25">
      <c r="A38" s="40">
        <v>1</v>
      </c>
      <c r="B38" s="2" t="s">
        <v>41</v>
      </c>
      <c r="D38" s="40">
        <v>6</v>
      </c>
      <c r="E38" s="2" t="s">
        <v>19</v>
      </c>
      <c r="G38" s="40">
        <v>64</v>
      </c>
      <c r="H38" s="2" t="s">
        <v>29</v>
      </c>
      <c r="J38" s="40">
        <v>10</v>
      </c>
      <c r="K38" s="2" t="s">
        <v>19</v>
      </c>
    </row>
    <row r="39" spans="1:11" x14ac:dyDescent="0.25">
      <c r="A39" s="40">
        <v>8</v>
      </c>
      <c r="B39" s="2" t="s">
        <v>42</v>
      </c>
      <c r="D39" s="40">
        <v>24</v>
      </c>
      <c r="E39" s="2" t="s">
        <v>20</v>
      </c>
      <c r="G39" s="40">
        <v>0</v>
      </c>
      <c r="H39" s="2" t="s">
        <v>30</v>
      </c>
      <c r="J39" s="40">
        <v>15</v>
      </c>
      <c r="K39" s="2" t="s">
        <v>20</v>
      </c>
    </row>
    <row r="40" spans="1:11" x14ac:dyDescent="0.25">
      <c r="A40" s="40">
        <v>1</v>
      </c>
      <c r="B40" s="2" t="s">
        <v>4</v>
      </c>
      <c r="D40" s="40">
        <v>3</v>
      </c>
      <c r="E40" s="2" t="s">
        <v>27</v>
      </c>
      <c r="G40" s="40">
        <v>0</v>
      </c>
      <c r="H40" s="16" t="s">
        <v>12</v>
      </c>
      <c r="J40" s="40">
        <v>0</v>
      </c>
      <c r="K40" s="2" t="s">
        <v>27</v>
      </c>
    </row>
    <row r="41" spans="1:11" x14ac:dyDescent="0.25">
      <c r="A41" s="40">
        <v>1</v>
      </c>
      <c r="B41" s="2" t="s">
        <v>5</v>
      </c>
      <c r="D41" s="40">
        <v>3</v>
      </c>
      <c r="E41" s="2" t="s">
        <v>21</v>
      </c>
      <c r="G41" s="40">
        <f>SUM(G38:G40)</f>
        <v>64</v>
      </c>
      <c r="H41" s="2" t="s">
        <v>35</v>
      </c>
      <c r="J41" s="40">
        <v>1</v>
      </c>
      <c r="K41" s="2" t="s">
        <v>21</v>
      </c>
    </row>
    <row r="42" spans="1:11" x14ac:dyDescent="0.25">
      <c r="A42" s="40">
        <v>20</v>
      </c>
      <c r="B42" s="2" t="s">
        <v>6</v>
      </c>
      <c r="D42" s="40">
        <v>3</v>
      </c>
      <c r="E42" s="2" t="s">
        <v>23</v>
      </c>
      <c r="J42" s="40">
        <v>1</v>
      </c>
      <c r="K42" s="2" t="s">
        <v>23</v>
      </c>
    </row>
    <row r="43" spans="1:11" x14ac:dyDescent="0.25">
      <c r="A43" s="40">
        <v>5</v>
      </c>
      <c r="B43" s="2" t="s">
        <v>9</v>
      </c>
      <c r="D43" s="40">
        <v>36</v>
      </c>
      <c r="E43" s="2" t="s">
        <v>22</v>
      </c>
      <c r="J43" s="40">
        <v>20</v>
      </c>
      <c r="K43" s="2" t="s">
        <v>22</v>
      </c>
    </row>
    <row r="44" spans="1:11" ht="15.75" thickBot="1" x14ac:dyDescent="0.3">
      <c r="A44" s="40">
        <v>72</v>
      </c>
      <c r="B44" s="2" t="s">
        <v>7</v>
      </c>
      <c r="D44" s="40">
        <v>3</v>
      </c>
      <c r="E44" s="2" t="s">
        <v>24</v>
      </c>
      <c r="G44" s="17" t="s">
        <v>135</v>
      </c>
      <c r="H44" s="17"/>
      <c r="J44" s="40">
        <v>1</v>
      </c>
      <c r="K44" s="2" t="s">
        <v>24</v>
      </c>
    </row>
    <row r="45" spans="1:11" x14ac:dyDescent="0.25">
      <c r="A45" s="40">
        <v>0</v>
      </c>
      <c r="B45" s="2" t="s">
        <v>8</v>
      </c>
      <c r="D45" s="40">
        <v>0</v>
      </c>
      <c r="E45" s="2" t="s">
        <v>25</v>
      </c>
      <c r="G45" s="40">
        <v>3</v>
      </c>
      <c r="H45" s="2" t="s">
        <v>32</v>
      </c>
      <c r="J45" s="40">
        <v>0</v>
      </c>
      <c r="K45" s="2" t="s">
        <v>25</v>
      </c>
    </row>
    <row r="46" spans="1:11" x14ac:dyDescent="0.25">
      <c r="A46" s="40">
        <v>7</v>
      </c>
      <c r="B46" s="2" t="s">
        <v>44</v>
      </c>
      <c r="D46" s="40">
        <v>0</v>
      </c>
      <c r="E46" s="2" t="s">
        <v>26</v>
      </c>
      <c r="G46" s="40">
        <v>24</v>
      </c>
      <c r="H46" s="2" t="s">
        <v>31</v>
      </c>
      <c r="J46" s="40">
        <v>0</v>
      </c>
      <c r="K46" s="2" t="s">
        <v>26</v>
      </c>
    </row>
    <row r="47" spans="1:11" x14ac:dyDescent="0.25">
      <c r="A47" s="40">
        <v>2</v>
      </c>
      <c r="B47" s="2" t="s">
        <v>15</v>
      </c>
      <c r="D47" s="40">
        <v>30</v>
      </c>
      <c r="E47" s="16" t="s">
        <v>28</v>
      </c>
      <c r="G47" s="40">
        <v>4</v>
      </c>
      <c r="H47" s="2" t="s">
        <v>33</v>
      </c>
      <c r="J47" s="40">
        <v>40</v>
      </c>
      <c r="K47" s="16" t="s">
        <v>28</v>
      </c>
    </row>
    <row r="48" spans="1:11" x14ac:dyDescent="0.25">
      <c r="A48" s="40">
        <v>1</v>
      </c>
      <c r="B48" s="2" t="s">
        <v>14</v>
      </c>
      <c r="D48" s="40">
        <f>SUM(D38:D47)</f>
        <v>108</v>
      </c>
      <c r="E48" s="2" t="s">
        <v>35</v>
      </c>
      <c r="G48" s="40">
        <v>20</v>
      </c>
      <c r="H48" s="2" t="s">
        <v>145</v>
      </c>
      <c r="J48" s="40">
        <f>SUM(J38:J47)</f>
        <v>88</v>
      </c>
      <c r="K48" s="2" t="s">
        <v>35</v>
      </c>
    </row>
    <row r="49" spans="1:11" x14ac:dyDescent="0.25">
      <c r="A49" s="40">
        <v>4</v>
      </c>
      <c r="B49" s="2" t="s">
        <v>16</v>
      </c>
      <c r="E49" s="2"/>
      <c r="G49" s="40">
        <v>24</v>
      </c>
      <c r="H49" s="2" t="s">
        <v>34</v>
      </c>
      <c r="K49" s="2"/>
    </row>
    <row r="50" spans="1:11" x14ac:dyDescent="0.25">
      <c r="A50" s="40">
        <v>1</v>
      </c>
      <c r="B50" s="2" t="s">
        <v>17</v>
      </c>
      <c r="D50" s="2" t="s">
        <v>36</v>
      </c>
      <c r="E50" s="16">
        <v>1801</v>
      </c>
      <c r="G50" s="40">
        <v>8</v>
      </c>
      <c r="H50" s="16" t="s">
        <v>9</v>
      </c>
      <c r="J50" s="2" t="s">
        <v>36</v>
      </c>
      <c r="K50" s="16">
        <v>7438</v>
      </c>
    </row>
    <row r="51" spans="1:11" x14ac:dyDescent="0.25">
      <c r="A51" s="40">
        <v>0</v>
      </c>
      <c r="B51" s="2" t="s">
        <v>11</v>
      </c>
      <c r="F51" s="2"/>
      <c r="G51" s="40">
        <f>SUM(G45:G50)</f>
        <v>83</v>
      </c>
      <c r="H51" s="2" t="s">
        <v>35</v>
      </c>
    </row>
    <row r="52" spans="1:11" x14ac:dyDescent="0.25">
      <c r="A52" s="40">
        <v>0</v>
      </c>
      <c r="B52" s="2" t="s">
        <v>12</v>
      </c>
      <c r="G52" s="2"/>
    </row>
    <row r="53" spans="1:11" ht="15.75" thickBot="1" x14ac:dyDescent="0.3">
      <c r="A53" s="40">
        <v>1</v>
      </c>
      <c r="B53" s="2" t="s">
        <v>13</v>
      </c>
      <c r="D53" s="17" t="s">
        <v>134</v>
      </c>
      <c r="E53" s="17"/>
      <c r="G53" s="2" t="s">
        <v>36</v>
      </c>
      <c r="H53" s="16">
        <v>4867899666</v>
      </c>
      <c r="J53" s="17" t="s">
        <v>137</v>
      </c>
      <c r="K53" s="5"/>
    </row>
    <row r="54" spans="1:11" x14ac:dyDescent="0.25">
      <c r="A54" s="40">
        <v>0</v>
      </c>
      <c r="B54" s="16" t="s">
        <v>18</v>
      </c>
      <c r="D54" s="40">
        <v>20</v>
      </c>
      <c r="E54" s="2" t="s">
        <v>29</v>
      </c>
      <c r="H54" s="4"/>
      <c r="J54" s="40">
        <v>1</v>
      </c>
      <c r="K54" t="s">
        <v>1</v>
      </c>
    </row>
    <row r="55" spans="1:11" x14ac:dyDescent="0.25">
      <c r="A55" s="40">
        <f>SUM(A38:A54)</f>
        <v>124</v>
      </c>
      <c r="B55" s="2" t="s">
        <v>35</v>
      </c>
      <c r="D55" s="40">
        <v>0</v>
      </c>
      <c r="E55" s="2" t="s">
        <v>30</v>
      </c>
      <c r="H55" s="4"/>
    </row>
    <row r="56" spans="1:11" x14ac:dyDescent="0.25">
      <c r="D56" s="40">
        <v>0</v>
      </c>
      <c r="E56" s="16" t="s">
        <v>12</v>
      </c>
      <c r="H56" s="2"/>
    </row>
    <row r="57" spans="1:11" x14ac:dyDescent="0.25">
      <c r="B57" s="4"/>
      <c r="D57" s="40">
        <f>SUM(D54:D56)</f>
        <v>20</v>
      </c>
      <c r="E57" s="2" t="s">
        <v>35</v>
      </c>
      <c r="H57" s="2"/>
    </row>
    <row r="58" spans="1:11" x14ac:dyDescent="0.25">
      <c r="A58" s="4"/>
      <c r="B58" s="4"/>
      <c r="C58" s="4"/>
      <c r="I58" s="6"/>
    </row>
    <row r="59" spans="1:11" x14ac:dyDescent="0.25">
      <c r="A59" s="4"/>
      <c r="B59" s="4"/>
      <c r="C59" s="4"/>
      <c r="F59" s="4"/>
      <c r="I59" s="2"/>
    </row>
    <row r="60" spans="1:11" x14ac:dyDescent="0.25">
      <c r="A60" s="8"/>
      <c r="B60" s="7"/>
      <c r="C60" s="9"/>
      <c r="E60" s="4"/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85</v>
      </c>
    </row>
    <row r="71" spans="1:11" ht="15.75" thickBot="1" x14ac:dyDescent="0.3">
      <c r="A71" s="31" t="s">
        <v>80</v>
      </c>
      <c r="B71" s="5"/>
      <c r="C71" s="35" t="s">
        <v>147</v>
      </c>
      <c r="D71" s="31" t="s">
        <v>81</v>
      </c>
      <c r="E71" s="5"/>
      <c r="G71" s="31" t="s">
        <v>82</v>
      </c>
      <c r="H71" s="5"/>
      <c r="J71" s="31" t="s">
        <v>83</v>
      </c>
      <c r="K71" s="5"/>
    </row>
    <row r="72" spans="1:11" x14ac:dyDescent="0.25">
      <c r="A72" s="32">
        <f>A4+D7+A38</f>
        <v>2</v>
      </c>
      <c r="B72" s="2" t="s">
        <v>41</v>
      </c>
      <c r="C72" s="36">
        <f>D72*15</f>
        <v>240</v>
      </c>
      <c r="D72" s="37">
        <f t="shared" ref="D72:D81" si="0">G4+D38+J38</f>
        <v>16</v>
      </c>
      <c r="E72" s="2" t="s">
        <v>19</v>
      </c>
      <c r="G72" s="13">
        <f>D17+G45</f>
        <v>4</v>
      </c>
      <c r="H72" s="2" t="s">
        <v>45</v>
      </c>
      <c r="J72" s="13">
        <f>A9+D11+D22+A43+G50</f>
        <v>25</v>
      </c>
      <c r="K72" s="2" t="s">
        <v>9</v>
      </c>
    </row>
    <row r="73" spans="1:11" x14ac:dyDescent="0.25">
      <c r="A73" s="27">
        <f>A5+D8+A39</f>
        <v>38</v>
      </c>
      <c r="B73" s="2" t="s">
        <v>42</v>
      </c>
      <c r="C73" s="36">
        <f t="shared" ref="C73:C79" si="1">D73*15</f>
        <v>585</v>
      </c>
      <c r="D73" s="38">
        <f t="shared" si="0"/>
        <v>39</v>
      </c>
      <c r="E73" s="2" t="s">
        <v>20</v>
      </c>
      <c r="G73" s="13">
        <f>D18+J4+G38+G46+D54</f>
        <v>120</v>
      </c>
      <c r="H73" s="2" t="s">
        <v>46</v>
      </c>
      <c r="J73" s="13">
        <f>A10+D12+D21+A44+G49</f>
        <v>143</v>
      </c>
      <c r="K73" s="2" t="s">
        <v>7</v>
      </c>
    </row>
    <row r="74" spans="1:11" x14ac:dyDescent="0.25">
      <c r="A74" s="27">
        <f>A6+D9+A40</f>
        <v>1</v>
      </c>
      <c r="B74" s="2" t="s">
        <v>4</v>
      </c>
      <c r="C74" s="36">
        <f t="shared" si="1"/>
        <v>45</v>
      </c>
      <c r="D74" s="38">
        <f t="shared" si="0"/>
        <v>3</v>
      </c>
      <c r="E74" s="2" t="s">
        <v>27</v>
      </c>
      <c r="G74" s="13">
        <f>D19+J5+G39+G47+D55</f>
        <v>4</v>
      </c>
      <c r="H74" s="2" t="s">
        <v>30</v>
      </c>
      <c r="J74" s="13">
        <f>A11+D13+A45</f>
        <v>24</v>
      </c>
      <c r="K74" s="2" t="s">
        <v>8</v>
      </c>
    </row>
    <row r="75" spans="1:11" x14ac:dyDescent="0.25">
      <c r="A75" s="27">
        <f>A7+D10+A41</f>
        <v>3</v>
      </c>
      <c r="B75" s="2" t="s">
        <v>5</v>
      </c>
      <c r="C75" s="36">
        <f t="shared" si="1"/>
        <v>60</v>
      </c>
      <c r="D75" s="38">
        <f t="shared" si="0"/>
        <v>4</v>
      </c>
      <c r="E75" s="2" t="s">
        <v>21</v>
      </c>
      <c r="G75" s="14">
        <f>D20+G48</f>
        <v>20</v>
      </c>
      <c r="H75" s="2" t="s">
        <v>144</v>
      </c>
      <c r="J75" s="13"/>
      <c r="K75" s="2" t="s">
        <v>55</v>
      </c>
    </row>
    <row r="76" spans="1:11" x14ac:dyDescent="0.25">
      <c r="A76" s="27">
        <f>A8+A42</f>
        <v>45</v>
      </c>
      <c r="B76" s="2" t="s">
        <v>6</v>
      </c>
      <c r="C76" s="36">
        <f>D76*12</f>
        <v>48</v>
      </c>
      <c r="D76" s="38">
        <f t="shared" si="0"/>
        <v>4</v>
      </c>
      <c r="E76" s="2" t="s">
        <v>23</v>
      </c>
      <c r="J76" s="13">
        <f>A12+A46</f>
        <v>7</v>
      </c>
      <c r="K76" s="2" t="s">
        <v>44</v>
      </c>
    </row>
    <row r="77" spans="1:11" x14ac:dyDescent="0.25">
      <c r="A77" s="27">
        <f>A13+A47</f>
        <v>3</v>
      </c>
      <c r="B77" s="2" t="s">
        <v>15</v>
      </c>
      <c r="C77" s="36">
        <f>D77*10</f>
        <v>560</v>
      </c>
      <c r="D77" s="38">
        <f t="shared" si="0"/>
        <v>56</v>
      </c>
      <c r="E77" s="2" t="s">
        <v>22</v>
      </c>
      <c r="J77" s="13"/>
      <c r="K77" s="2" t="s">
        <v>2</v>
      </c>
    </row>
    <row r="78" spans="1:11" x14ac:dyDescent="0.25">
      <c r="B78" s="2"/>
      <c r="C78" s="36">
        <f t="shared" si="1"/>
        <v>60</v>
      </c>
      <c r="D78" s="38">
        <f t="shared" si="0"/>
        <v>4</v>
      </c>
      <c r="E78" s="2" t="s">
        <v>24</v>
      </c>
      <c r="J78" s="14">
        <f>J54+D4+J11+J15</f>
        <v>4</v>
      </c>
      <c r="K78" s="2" t="s">
        <v>1</v>
      </c>
    </row>
    <row r="79" spans="1:11" x14ac:dyDescent="0.25">
      <c r="B79" s="2"/>
      <c r="C79" s="36">
        <f t="shared" si="1"/>
        <v>0</v>
      </c>
      <c r="D79" s="38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6">
        <f>D80*8</f>
        <v>0</v>
      </c>
      <c r="D80" s="38">
        <f t="shared" si="0"/>
        <v>0</v>
      </c>
      <c r="E80" s="2" t="s">
        <v>26</v>
      </c>
    </row>
    <row r="81" spans="1:11" x14ac:dyDescent="0.25">
      <c r="C81" s="36">
        <f>D81*8</f>
        <v>560</v>
      </c>
      <c r="D81" s="38">
        <f t="shared" si="0"/>
        <v>70</v>
      </c>
      <c r="E81" s="2" t="s">
        <v>28</v>
      </c>
    </row>
    <row r="86" spans="1:11" ht="15.75" thickBot="1" x14ac:dyDescent="0.3">
      <c r="A86" s="31" t="s">
        <v>84</v>
      </c>
      <c r="B86" s="5"/>
      <c r="F86" s="35" t="s">
        <v>147</v>
      </c>
      <c r="G86" s="31" t="s">
        <v>86</v>
      </c>
      <c r="H86" s="5"/>
      <c r="J86" s="5" t="s">
        <v>180</v>
      </c>
      <c r="K86" s="31" t="s">
        <v>179</v>
      </c>
    </row>
    <row r="87" spans="1:11" x14ac:dyDescent="0.25">
      <c r="A87" s="13">
        <f>A14+A48</f>
        <v>1</v>
      </c>
      <c r="B87" s="2" t="s">
        <v>14</v>
      </c>
      <c r="F87" s="36">
        <f>G87*15</f>
        <v>15</v>
      </c>
      <c r="G87" s="27">
        <f>A74</f>
        <v>1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5</v>
      </c>
      <c r="B88" s="2" t="s">
        <v>16</v>
      </c>
      <c r="F88" s="36">
        <f t="shared" ref="F88:F90" si="2">G88*15</f>
        <v>45</v>
      </c>
      <c r="G88" s="21">
        <f>A77</f>
        <v>3</v>
      </c>
      <c r="H88" s="2" t="s">
        <v>15</v>
      </c>
      <c r="J88" s="14">
        <f>IF(MOD((A5),24)=0,(A5)/24,0)+IF(MOD((A39),24)=0,(A39)/24,0)</f>
        <v>1</v>
      </c>
      <c r="K88" t="s">
        <v>42</v>
      </c>
    </row>
    <row r="89" spans="1:11" x14ac:dyDescent="0.25">
      <c r="A89" s="13">
        <f>A16+A50</f>
        <v>2</v>
      </c>
      <c r="B89" s="2" t="s">
        <v>17</v>
      </c>
      <c r="F89" s="36">
        <f>G89*10</f>
        <v>240</v>
      </c>
      <c r="G89" s="30">
        <f>J74</f>
        <v>24</v>
      </c>
      <c r="H89" s="2" t="s">
        <v>8</v>
      </c>
      <c r="J89" s="14">
        <f>IF(MOD((A8),20)=0,(A8)/20,0)+IF(MOD((A42),20)=0,(A42)/20,0)</f>
        <v>1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6">
        <f t="shared" si="2"/>
        <v>45</v>
      </c>
      <c r="G90" s="27">
        <f>A75</f>
        <v>3</v>
      </c>
      <c r="H90" s="2" t="s">
        <v>5</v>
      </c>
      <c r="J90" s="14">
        <f>IF(MOD((D17),24)=0,(D17)/24,0)+IF(MOD((G45),24)=0,(G45)/24,0)</f>
        <v>0</v>
      </c>
      <c r="K90" s="2" t="s">
        <v>45</v>
      </c>
    </row>
    <row r="91" spans="1:11" x14ac:dyDescent="0.25">
      <c r="A91" s="13">
        <f>A18+A52+J6+G40+D56</f>
        <v>0</v>
      </c>
      <c r="B91" s="2" t="s">
        <v>12</v>
      </c>
      <c r="F91" s="36">
        <f>G91*15</f>
        <v>60</v>
      </c>
      <c r="G91" s="21">
        <f>G74</f>
        <v>4</v>
      </c>
      <c r="H91" s="2" t="s">
        <v>30</v>
      </c>
      <c r="J91" s="14">
        <f>IF(MOD((D18),24)=0,(D18)/24,0)+IF(MOD((G46),24)=0,(G46)/24,0)</f>
        <v>1</v>
      </c>
      <c r="K91" s="2" t="s">
        <v>46</v>
      </c>
    </row>
    <row r="92" spans="1:11" x14ac:dyDescent="0.25">
      <c r="A92" s="13">
        <f>A19+A53</f>
        <v>2</v>
      </c>
      <c r="B92" s="2" t="s">
        <v>13</v>
      </c>
      <c r="F92" s="36">
        <f>G92*5</f>
        <v>225</v>
      </c>
      <c r="G92" s="21">
        <f>A76</f>
        <v>45</v>
      </c>
      <c r="H92" s="2" t="s">
        <v>54</v>
      </c>
      <c r="J92" s="14">
        <f>IF(MOD((D20),13)=0,(D20)/13,0)+IF(MOD((G48),13)=0,(G48)/13,0)</f>
        <v>0</v>
      </c>
      <c r="K92" s="2" t="s">
        <v>145</v>
      </c>
    </row>
    <row r="93" spans="1:11" x14ac:dyDescent="0.25">
      <c r="A93" s="13">
        <f>A20+A54</f>
        <v>0</v>
      </c>
      <c r="B93" s="2" t="s">
        <v>18</v>
      </c>
      <c r="F93" s="36">
        <f>G93*8</f>
        <v>160</v>
      </c>
      <c r="G93" s="21">
        <f>G75</f>
        <v>20</v>
      </c>
      <c r="H93" s="2" t="s">
        <v>145</v>
      </c>
      <c r="J93" s="14">
        <f>IF(MOD((A10),24)=0,(A10)/24,0)+IF(MOD((D21),24)=0,(D21)/24,0)+IF(MOD((A44),24)=0,(A44)/24,0)+IF(MOD((G49),24)=0,(G49)/24,0)</f>
        <v>5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1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1" operator="equal">
      <formula>144</formula>
    </cfRule>
    <cfRule type="cellIs" dxfId="166" priority="125" operator="equal">
      <formula>24</formula>
    </cfRule>
    <cfRule type="cellIs" dxfId="165" priority="124" operator="equal">
      <formula>96</formula>
    </cfRule>
    <cfRule type="cellIs" dxfId="164" priority="123" operator="equal">
      <formula>72</formula>
    </cfRule>
    <cfRule type="cellIs" dxfId="163" priority="122" operator="equal">
      <formula>120</formula>
    </cfRule>
    <cfRule type="cellIs" dxfId="162" priority="120" operator="equal">
      <formula>168</formula>
    </cfRule>
    <cfRule type="cellIs" dxfId="161" priority="126" operator="equal">
      <formula>48</formula>
    </cfRule>
  </conditionalFormatting>
  <conditionalFormatting sqref="A8">
    <cfRule type="cellIs" dxfId="160" priority="116" operator="equal">
      <formula>80</formula>
    </cfRule>
    <cfRule type="cellIs" dxfId="159" priority="119" operator="equal">
      <formula>140</formula>
    </cfRule>
    <cfRule type="cellIs" dxfId="158" priority="118" operator="equal">
      <formula>120</formula>
    </cfRule>
    <cfRule type="cellIs" dxfId="157" priority="117" operator="equal">
      <formula>100</formula>
    </cfRule>
    <cfRule type="cellIs" dxfId="156" priority="115" operator="equal">
      <formula>60</formula>
    </cfRule>
    <cfRule type="cellIs" dxfId="155" priority="114" operator="equal">
      <formula>40</formula>
    </cfRule>
    <cfRule type="cellIs" dxfId="154" priority="113" operator="equal">
      <formula>20</formula>
    </cfRule>
  </conditionalFormatting>
  <conditionalFormatting sqref="A10:A11">
    <cfRule type="cellIs" dxfId="153" priority="106" operator="equal">
      <formula>168</formula>
    </cfRule>
    <cfRule type="cellIs" dxfId="152" priority="112" operator="equal">
      <formula>48</formula>
    </cfRule>
    <cfRule type="cellIs" dxfId="151" priority="111" operator="equal">
      <formula>24</formula>
    </cfRule>
    <cfRule type="cellIs" dxfId="150" priority="110" operator="equal">
      <formula>96</formula>
    </cfRule>
    <cfRule type="cellIs" dxfId="149" priority="109" operator="equal">
      <formula>72</formula>
    </cfRule>
    <cfRule type="cellIs" dxfId="148" priority="108" operator="equal">
      <formula>120</formula>
    </cfRule>
    <cfRule type="cellIs" dxfId="147" priority="107" operator="equal">
      <formula>144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6" operator="equal">
      <formula>168</formula>
    </cfRule>
    <cfRule type="cellIs" dxfId="143" priority="38" operator="equal">
      <formula>120</formula>
    </cfRule>
    <cfRule type="cellIs" dxfId="142" priority="39" operator="equal">
      <formula>72</formula>
    </cfRule>
    <cfRule type="cellIs" dxfId="141" priority="40" operator="equal">
      <formula>96</formula>
    </cfRule>
    <cfRule type="cellIs" dxfId="140" priority="41" operator="equal">
      <formula>24</formula>
    </cfRule>
  </conditionalFormatting>
  <conditionalFormatting sqref="A42">
    <cfRule type="cellIs" dxfId="139" priority="29" operator="equal">
      <formula>20</formula>
    </cfRule>
    <cfRule type="cellIs" dxfId="138" priority="30" operator="equal">
      <formula>40</formula>
    </cfRule>
    <cfRule type="cellIs" dxfId="137" priority="31" operator="equal">
      <formula>60</formula>
    </cfRule>
    <cfRule type="cellIs" dxfId="136" priority="33" operator="equal">
      <formula>100</formula>
    </cfRule>
    <cfRule type="cellIs" dxfId="135" priority="34" operator="equal">
      <formula>120</formula>
    </cfRule>
    <cfRule type="cellIs" dxfId="134" priority="35" operator="equal">
      <formula>140</formula>
    </cfRule>
    <cfRule type="cellIs" dxfId="133" priority="32" operator="equal">
      <formula>80</formula>
    </cfRule>
  </conditionalFormatting>
  <conditionalFormatting sqref="A44:A45">
    <cfRule type="cellIs" dxfId="132" priority="23" operator="equal">
      <formula>144</formula>
    </cfRule>
    <cfRule type="cellIs" dxfId="131" priority="24" operator="equal">
      <formula>120</formula>
    </cfRule>
    <cfRule type="cellIs" dxfId="130" priority="22" operator="equal">
      <formula>168</formula>
    </cfRule>
    <cfRule type="cellIs" dxfId="129" priority="25" operator="equal">
      <formula>72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8" operator="equal">
      <formula>48</formula>
    </cfRule>
  </conditionalFormatting>
  <conditionalFormatting sqref="D17:D18">
    <cfRule type="cellIs" dxfId="125" priority="95" operator="equal">
      <formula>72</formula>
    </cfRule>
    <cfRule type="cellIs" dxfId="124" priority="92" operator="equal">
      <formula>168</formula>
    </cfRule>
    <cfRule type="cellIs" dxfId="123" priority="93" operator="equal">
      <formula>144</formula>
    </cfRule>
    <cfRule type="cellIs" dxfId="122" priority="94" operator="equal">
      <formula>120</formula>
    </cfRule>
    <cfRule type="cellIs" dxfId="121" priority="96" operator="equal">
      <formula>96</formula>
    </cfRule>
    <cfRule type="cellIs" dxfId="120" priority="97" operator="equal">
      <formula>24</formula>
    </cfRule>
    <cfRule type="cellIs" dxfId="119" priority="98" operator="equal">
      <formula>48</formula>
    </cfRule>
  </conditionalFormatting>
  <conditionalFormatting sqref="D20">
    <cfRule type="cellIs" dxfId="118" priority="99" operator="equal">
      <formula>13</formula>
    </cfRule>
    <cfRule type="cellIs" dxfId="117" priority="100" operator="equal">
      <formula>26</formula>
    </cfRule>
    <cfRule type="cellIs" dxfId="116" priority="101" operator="equal">
      <formula>39</formula>
    </cfRule>
    <cfRule type="cellIs" dxfId="115" priority="102" operator="equal">
      <formula>52</formula>
    </cfRule>
    <cfRule type="cellIs" dxfId="114" priority="103" operator="equal">
      <formula>65</formula>
    </cfRule>
    <cfRule type="cellIs" dxfId="113" priority="104" operator="equal">
      <formula>78</formula>
    </cfRule>
    <cfRule type="cellIs" dxfId="112" priority="105" operator="equal">
      <formula>91</formula>
    </cfRule>
  </conditionalFormatting>
  <conditionalFormatting sqref="D21">
    <cfRule type="cellIs" dxfId="111" priority="86" operator="equal">
      <formula>144</formula>
    </cfRule>
    <cfRule type="cellIs" dxfId="110" priority="87" operator="equal">
      <formula>120</formula>
    </cfRule>
    <cfRule type="cellIs" dxfId="109" priority="88" operator="equal">
      <formula>72</formula>
    </cfRule>
    <cfRule type="cellIs" dxfId="108" priority="85" operator="equal">
      <formula>168</formula>
    </cfRule>
    <cfRule type="cellIs" dxfId="107" priority="89" operator="equal">
      <formula>96</formula>
    </cfRule>
    <cfRule type="cellIs" dxfId="106" priority="90" operator="equal">
      <formula>24</formula>
    </cfRule>
    <cfRule type="cellIs" dxfId="105" priority="91" operator="equal">
      <formula>48</formula>
    </cfRule>
  </conditionalFormatting>
  <conditionalFormatting sqref="G45:G46">
    <cfRule type="cellIs" dxfId="104" priority="10" operator="equal">
      <formula>120</formula>
    </cfRule>
    <cfRule type="cellIs" dxfId="103" priority="9" operator="equal">
      <formula>144</formula>
    </cfRule>
    <cfRule type="cellIs" dxfId="102" priority="8" operator="equal">
      <formula>168</formula>
    </cfRule>
    <cfRule type="cellIs" dxfId="101" priority="11" operator="equal">
      <formula>72</formula>
    </cfRule>
    <cfRule type="cellIs" dxfId="100" priority="14" operator="equal">
      <formula>48</formula>
    </cfRule>
    <cfRule type="cellIs" dxfId="99" priority="13" operator="equal">
      <formula>24</formula>
    </cfRule>
    <cfRule type="cellIs" dxfId="98" priority="12" operator="equal">
      <formula>96</formula>
    </cfRule>
  </conditionalFormatting>
  <conditionalFormatting sqref="G48">
    <cfRule type="cellIs" dxfId="97" priority="1" operator="equal">
      <formula>13</formula>
    </cfRule>
    <cfRule type="cellIs" dxfId="96" priority="7" operator="equal">
      <formula>91</formula>
    </cfRule>
    <cfRule type="cellIs" dxfId="95" priority="6" operator="equal">
      <formula>78</formula>
    </cfRule>
    <cfRule type="cellIs" dxfId="94" priority="5" operator="equal">
      <formula>65</formula>
    </cfRule>
    <cfRule type="cellIs" dxfId="93" priority="4" operator="equal">
      <formula>52</formula>
    </cfRule>
    <cfRule type="cellIs" dxfId="92" priority="3" operator="equal">
      <formula>39</formula>
    </cfRule>
    <cfRule type="cellIs" dxfId="91" priority="2" operator="equal">
      <formula>26</formula>
    </cfRule>
  </conditionalFormatting>
  <conditionalFormatting sqref="G49">
    <cfRule type="cellIs" dxfId="90" priority="21" operator="equal">
      <formula>48</formula>
    </cfRule>
    <cfRule type="cellIs" dxfId="89" priority="20" operator="equal">
      <formula>24</formula>
    </cfRule>
    <cfRule type="cellIs" dxfId="88" priority="19" operator="equal">
      <formula>96</formula>
    </cfRule>
    <cfRule type="cellIs" dxfId="87" priority="17" operator="equal">
      <formula>120</formula>
    </cfRule>
    <cfRule type="cellIs" dxfId="86" priority="16" operator="equal">
      <formula>144</formula>
    </cfRule>
    <cfRule type="cellIs" dxfId="85" priority="15" operator="equal">
      <formula>168</formula>
    </cfRule>
    <cfRule type="cellIs" dxfId="84" priority="18" operator="equal">
      <formula>72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tabSelected="1" view="pageLayout" zoomScale="85" zoomScaleNormal="100" zoomScalePageLayoutView="85" workbookViewId="0">
      <selection activeCell="N25" sqref="N25"/>
    </sheetView>
  </sheetViews>
  <sheetFormatPr defaultRowHeight="15" x14ac:dyDescent="0.25"/>
  <cols>
    <col min="1" max="1" width="6.42578125" customWidth="1"/>
    <col min="2" max="2" width="16.140625" customWidth="1"/>
    <col min="3" max="3" width="5.140625" customWidth="1"/>
    <col min="4" max="4" width="5" customWidth="1"/>
    <col min="5" max="5" width="16.5703125" customWidth="1"/>
    <col min="6" max="6" width="6.28515625" customWidth="1"/>
    <col min="7" max="7" width="4.85546875" customWidth="1"/>
    <col min="8" max="8" width="15.140625" customWidth="1"/>
    <col min="9" max="9" width="4.42578125" customWidth="1"/>
    <col min="10" max="10" width="5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68" t="s">
        <v>149</v>
      </c>
      <c r="B1" s="68"/>
      <c r="C1" s="67">
        <f>DATE(2024,1,1)+(Mon!B2-1)*7+4</f>
        <v>45422</v>
      </c>
      <c r="D1" s="67"/>
      <c r="E1" s="67"/>
      <c r="G1" s="64" t="s">
        <v>186</v>
      </c>
      <c r="H1" s="65">
        <f>Mon!C1+49-1</f>
        <v>45466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20" t="s">
        <v>58</v>
      </c>
      <c r="E3" s="5"/>
      <c r="G3" s="17" t="s">
        <v>63</v>
      </c>
      <c r="H3" s="5"/>
      <c r="J3" s="17" t="s">
        <v>69</v>
      </c>
      <c r="K3" s="26"/>
      <c r="M3" s="17" t="s">
        <v>142</v>
      </c>
      <c r="N3" s="17"/>
    </row>
    <row r="4" spans="1:14" ht="12.75" customHeight="1" x14ac:dyDescent="0.25">
      <c r="A4" s="40">
        <v>28</v>
      </c>
      <c r="B4" s="2" t="s">
        <v>52</v>
      </c>
      <c r="D4" s="40">
        <v>0</v>
      </c>
      <c r="E4" s="2" t="s">
        <v>45</v>
      </c>
      <c r="G4" s="40">
        <v>0</v>
      </c>
      <c r="H4" t="s">
        <v>44</v>
      </c>
      <c r="J4" s="40">
        <v>20</v>
      </c>
      <c r="K4" s="2" t="s">
        <v>44</v>
      </c>
      <c r="M4" s="40">
        <v>0</v>
      </c>
      <c r="N4" s="2" t="s">
        <v>41</v>
      </c>
    </row>
    <row r="5" spans="1:14" ht="12.75" customHeight="1" x14ac:dyDescent="0.25">
      <c r="A5" s="40">
        <v>0</v>
      </c>
      <c r="B5" s="2" t="s">
        <v>2</v>
      </c>
      <c r="D5" s="40">
        <v>0</v>
      </c>
      <c r="E5" s="2" t="s">
        <v>46</v>
      </c>
      <c r="J5" s="72">
        <v>2</v>
      </c>
      <c r="K5" t="s">
        <v>189</v>
      </c>
      <c r="M5" s="40">
        <v>0</v>
      </c>
      <c r="N5" s="2" t="s">
        <v>42</v>
      </c>
    </row>
    <row r="6" spans="1:14" ht="12.75" customHeight="1" thickBot="1" x14ac:dyDescent="0.3">
      <c r="A6" s="40">
        <v>4</v>
      </c>
      <c r="B6" s="16" t="s">
        <v>7</v>
      </c>
      <c r="D6" s="40">
        <v>0</v>
      </c>
      <c r="E6" s="2" t="s">
        <v>30</v>
      </c>
      <c r="G6" s="17" t="s">
        <v>64</v>
      </c>
      <c r="H6" s="5"/>
      <c r="M6" s="40">
        <v>0</v>
      </c>
      <c r="N6" s="2" t="s">
        <v>4</v>
      </c>
    </row>
    <row r="7" spans="1:14" ht="12.75" customHeight="1" thickBot="1" x14ac:dyDescent="0.3">
      <c r="A7" s="40">
        <f>SUM(A4:A6)</f>
        <v>32</v>
      </c>
      <c r="B7" s="22" t="s">
        <v>35</v>
      </c>
      <c r="D7" s="40">
        <v>0</v>
      </c>
      <c r="E7" s="2" t="s">
        <v>145</v>
      </c>
      <c r="G7" s="40">
        <v>4</v>
      </c>
      <c r="H7" t="s">
        <v>44</v>
      </c>
      <c r="J7" s="17" t="s">
        <v>141</v>
      </c>
      <c r="K7" s="17"/>
      <c r="M7" s="40">
        <v>0</v>
      </c>
      <c r="N7" s="2" t="s">
        <v>5</v>
      </c>
    </row>
    <row r="8" spans="1:14" ht="12.75" customHeight="1" x14ac:dyDescent="0.25">
      <c r="D8" s="40">
        <v>24</v>
      </c>
      <c r="E8" s="2" t="s">
        <v>7</v>
      </c>
      <c r="J8" s="40">
        <v>0</v>
      </c>
      <c r="K8" s="2" t="s">
        <v>41</v>
      </c>
      <c r="M8" s="40">
        <v>35</v>
      </c>
      <c r="N8" s="2" t="s">
        <v>6</v>
      </c>
    </row>
    <row r="9" spans="1:14" ht="12.75" customHeight="1" x14ac:dyDescent="0.25">
      <c r="D9" s="40">
        <v>0</v>
      </c>
      <c r="E9" s="16" t="s">
        <v>47</v>
      </c>
      <c r="J9" s="40">
        <v>5</v>
      </c>
      <c r="K9" s="2" t="s">
        <v>42</v>
      </c>
      <c r="M9" s="40">
        <v>8</v>
      </c>
      <c r="N9" s="2" t="s">
        <v>9</v>
      </c>
    </row>
    <row r="10" spans="1:14" ht="12.75" customHeight="1" thickBot="1" x14ac:dyDescent="0.3">
      <c r="A10" s="17" t="s">
        <v>99</v>
      </c>
      <c r="B10" s="17"/>
      <c r="D10" s="40">
        <f>SUM(D4:D9)</f>
        <v>24</v>
      </c>
      <c r="E10" s="22" t="s">
        <v>35</v>
      </c>
      <c r="G10" s="17" t="s">
        <v>65</v>
      </c>
      <c r="H10" s="5"/>
      <c r="J10" s="40">
        <v>0</v>
      </c>
      <c r="K10" s="2" t="s">
        <v>4</v>
      </c>
      <c r="M10" s="40">
        <v>15</v>
      </c>
      <c r="N10" s="2" t="s">
        <v>7</v>
      </c>
    </row>
    <row r="11" spans="1:14" ht="12.75" customHeight="1" x14ac:dyDescent="0.25">
      <c r="A11" s="40">
        <v>1</v>
      </c>
      <c r="B11" s="2" t="s">
        <v>41</v>
      </c>
      <c r="D11" s="2" t="s">
        <v>36</v>
      </c>
      <c r="E11" s="16">
        <v>4867951224</v>
      </c>
      <c r="G11" s="40">
        <v>6</v>
      </c>
      <c r="H11" t="s">
        <v>0</v>
      </c>
      <c r="J11" s="40">
        <v>0</v>
      </c>
      <c r="K11" s="2" t="s">
        <v>5</v>
      </c>
      <c r="M11" s="40">
        <v>15</v>
      </c>
      <c r="N11" s="2" t="s">
        <v>8</v>
      </c>
    </row>
    <row r="12" spans="1:14" ht="12.75" customHeight="1" x14ac:dyDescent="0.25">
      <c r="A12" s="40">
        <v>4</v>
      </c>
      <c r="B12" s="2" t="s">
        <v>42</v>
      </c>
      <c r="J12" s="40">
        <v>20</v>
      </c>
      <c r="K12" s="2" t="s">
        <v>6</v>
      </c>
      <c r="M12" s="40">
        <v>0</v>
      </c>
      <c r="N12" s="16" t="s">
        <v>70</v>
      </c>
    </row>
    <row r="13" spans="1:14" ht="12.75" customHeight="1" thickBot="1" x14ac:dyDescent="0.3">
      <c r="A13" s="40">
        <v>1</v>
      </c>
      <c r="B13" s="2" t="s">
        <v>4</v>
      </c>
      <c r="D13" s="17" t="s">
        <v>62</v>
      </c>
      <c r="E13" s="5"/>
      <c r="G13" s="17" t="s">
        <v>66</v>
      </c>
      <c r="H13" s="28"/>
      <c r="J13" s="40">
        <v>8</v>
      </c>
      <c r="K13" s="2" t="s">
        <v>9</v>
      </c>
      <c r="M13" s="40">
        <f>SUM(M4:M12)</f>
        <v>73</v>
      </c>
      <c r="N13" s="22" t="s">
        <v>35</v>
      </c>
    </row>
    <row r="14" spans="1:14" ht="12.75" customHeight="1" x14ac:dyDescent="0.25">
      <c r="A14" s="40">
        <v>1</v>
      </c>
      <c r="B14" s="2" t="s">
        <v>5</v>
      </c>
      <c r="D14" s="40">
        <v>0</v>
      </c>
      <c r="E14" t="s">
        <v>44</v>
      </c>
      <c r="G14" s="40">
        <v>0</v>
      </c>
      <c r="H14" s="2" t="s">
        <v>41</v>
      </c>
      <c r="J14" s="40">
        <v>8</v>
      </c>
      <c r="K14" s="2" t="s">
        <v>7</v>
      </c>
    </row>
    <row r="15" spans="1:14" ht="12.75" customHeight="1" x14ac:dyDescent="0.25">
      <c r="A15" s="40">
        <v>40</v>
      </c>
      <c r="B15" s="2" t="s">
        <v>6</v>
      </c>
      <c r="F15" s="2"/>
      <c r="G15" s="40">
        <v>5</v>
      </c>
      <c r="H15" s="2" t="s">
        <v>42</v>
      </c>
      <c r="J15" s="40">
        <v>48</v>
      </c>
      <c r="K15" s="2" t="s">
        <v>8</v>
      </c>
    </row>
    <row r="16" spans="1:14" ht="12.75" customHeight="1" thickBot="1" x14ac:dyDescent="0.3">
      <c r="A16" s="40">
        <v>6</v>
      </c>
      <c r="B16" s="2" t="s">
        <v>9</v>
      </c>
      <c r="D16" s="17" t="s">
        <v>61</v>
      </c>
      <c r="E16" s="5"/>
      <c r="G16" s="40">
        <v>1</v>
      </c>
      <c r="H16" s="2" t="s">
        <v>4</v>
      </c>
      <c r="J16" s="40">
        <v>3</v>
      </c>
      <c r="K16" s="2" t="s">
        <v>44</v>
      </c>
      <c r="M16" s="17" t="s">
        <v>143</v>
      </c>
      <c r="N16" s="5"/>
    </row>
    <row r="17" spans="1:14" ht="12.75" customHeight="1" x14ac:dyDescent="0.25">
      <c r="A17" s="40">
        <v>3</v>
      </c>
      <c r="B17" s="2" t="s">
        <v>7</v>
      </c>
      <c r="D17" s="40">
        <v>0</v>
      </c>
      <c r="E17" s="2" t="s">
        <v>44</v>
      </c>
      <c r="G17" s="40">
        <v>1</v>
      </c>
      <c r="H17" s="2" t="s">
        <v>5</v>
      </c>
      <c r="J17" s="40">
        <v>2</v>
      </c>
      <c r="K17" s="2" t="s">
        <v>15</v>
      </c>
      <c r="M17" s="40">
        <v>12</v>
      </c>
      <c r="N17" s="2" t="s">
        <v>44</v>
      </c>
    </row>
    <row r="18" spans="1:14" ht="12.75" customHeight="1" x14ac:dyDescent="0.25">
      <c r="A18" s="40">
        <v>48</v>
      </c>
      <c r="B18" s="2" t="s">
        <v>8</v>
      </c>
      <c r="D18" s="40">
        <v>0</v>
      </c>
      <c r="E18" s="16" t="s">
        <v>1</v>
      </c>
      <c r="G18" s="40">
        <v>8</v>
      </c>
      <c r="H18" s="2" t="s">
        <v>6</v>
      </c>
      <c r="J18" s="40">
        <v>0</v>
      </c>
      <c r="K18" s="2" t="s">
        <v>14</v>
      </c>
    </row>
    <row r="19" spans="1:14" ht="12.75" customHeight="1" x14ac:dyDescent="0.25">
      <c r="A19" s="40">
        <v>1</v>
      </c>
      <c r="B19" s="2" t="s">
        <v>44</v>
      </c>
      <c r="D19" s="40">
        <f>SUM(D17:D18)</f>
        <v>0</v>
      </c>
      <c r="E19" s="22" t="s">
        <v>35</v>
      </c>
      <c r="G19" s="40">
        <v>5</v>
      </c>
      <c r="H19" s="2" t="s">
        <v>9</v>
      </c>
      <c r="J19" s="40">
        <v>0</v>
      </c>
      <c r="K19" s="2" t="s">
        <v>16</v>
      </c>
    </row>
    <row r="20" spans="1:14" ht="12.75" customHeight="1" x14ac:dyDescent="0.25">
      <c r="A20" s="40">
        <v>6</v>
      </c>
      <c r="B20" s="2" t="s">
        <v>15</v>
      </c>
      <c r="G20" s="40">
        <v>4</v>
      </c>
      <c r="H20" s="2" t="s">
        <v>7</v>
      </c>
      <c r="J20" s="40">
        <v>0</v>
      </c>
      <c r="K20" s="2" t="s">
        <v>17</v>
      </c>
    </row>
    <row r="21" spans="1:14" ht="12.75" customHeight="1" thickBot="1" x14ac:dyDescent="0.3">
      <c r="A21" s="40">
        <v>1</v>
      </c>
      <c r="B21" s="2" t="s">
        <v>14</v>
      </c>
      <c r="D21" s="17" t="s">
        <v>56</v>
      </c>
      <c r="E21" s="17"/>
      <c r="G21" s="40">
        <v>0</v>
      </c>
      <c r="H21" s="2" t="s">
        <v>8</v>
      </c>
      <c r="J21" s="40">
        <v>0</v>
      </c>
      <c r="K21" s="2" t="s">
        <v>11</v>
      </c>
    </row>
    <row r="22" spans="1:14" ht="12.75" customHeight="1" x14ac:dyDescent="0.25">
      <c r="A22" s="40">
        <v>0</v>
      </c>
      <c r="B22" s="2" t="s">
        <v>16</v>
      </c>
      <c r="D22" s="40">
        <v>0</v>
      </c>
      <c r="E22" s="2" t="s">
        <v>41</v>
      </c>
      <c r="G22" s="40">
        <v>0</v>
      </c>
      <c r="H22" s="16" t="s">
        <v>10</v>
      </c>
      <c r="J22" s="40">
        <v>0</v>
      </c>
      <c r="K22" s="2" t="s">
        <v>12</v>
      </c>
    </row>
    <row r="23" spans="1:14" ht="12.75" customHeight="1" x14ac:dyDescent="0.25">
      <c r="A23" s="40">
        <v>0</v>
      </c>
      <c r="B23" s="2" t="s">
        <v>17</v>
      </c>
      <c r="D23" s="40">
        <v>5</v>
      </c>
      <c r="E23" s="2" t="s">
        <v>42</v>
      </c>
      <c r="G23" s="40">
        <f>SUM(G14:G22)</f>
        <v>24</v>
      </c>
      <c r="H23" s="41" t="s">
        <v>35</v>
      </c>
      <c r="J23" s="40">
        <v>0</v>
      </c>
      <c r="K23" s="2" t="s">
        <v>13</v>
      </c>
    </row>
    <row r="24" spans="1:14" ht="12.75" customHeight="1" x14ac:dyDescent="0.25">
      <c r="A24" s="40">
        <v>0</v>
      </c>
      <c r="B24" s="2" t="s">
        <v>11</v>
      </c>
      <c r="D24" s="40">
        <v>0</v>
      </c>
      <c r="E24" s="2" t="s">
        <v>4</v>
      </c>
      <c r="J24" s="40">
        <v>0</v>
      </c>
      <c r="K24" s="16" t="s">
        <v>68</v>
      </c>
    </row>
    <row r="25" spans="1:14" ht="12.75" customHeight="1" thickBot="1" x14ac:dyDescent="0.3">
      <c r="A25" s="40">
        <v>1</v>
      </c>
      <c r="B25" s="2" t="s">
        <v>12</v>
      </c>
      <c r="D25" s="40">
        <v>0</v>
      </c>
      <c r="E25" s="2" t="s">
        <v>5</v>
      </c>
      <c r="G25" s="17" t="s">
        <v>67</v>
      </c>
      <c r="H25" s="17"/>
      <c r="J25" s="40">
        <f>SUM(J8:J24)</f>
        <v>94</v>
      </c>
      <c r="K25" s="22" t="s">
        <v>35</v>
      </c>
    </row>
    <row r="26" spans="1:14" ht="12.75" customHeight="1" x14ac:dyDescent="0.25">
      <c r="A26" s="40">
        <v>1</v>
      </c>
      <c r="B26" s="2" t="s">
        <v>13</v>
      </c>
      <c r="D26" s="40">
        <v>20</v>
      </c>
      <c r="E26" s="2" t="s">
        <v>6</v>
      </c>
      <c r="G26" s="40">
        <v>10</v>
      </c>
      <c r="H26" s="2" t="s">
        <v>29</v>
      </c>
    </row>
    <row r="27" spans="1:14" ht="12.75" customHeight="1" x14ac:dyDescent="0.25">
      <c r="A27" s="40">
        <v>0</v>
      </c>
      <c r="B27" s="16" t="s">
        <v>68</v>
      </c>
      <c r="D27" s="40">
        <v>5</v>
      </c>
      <c r="E27" s="2" t="s">
        <v>9</v>
      </c>
      <c r="G27" s="40">
        <v>0</v>
      </c>
      <c r="H27" s="2" t="s">
        <v>30</v>
      </c>
    </row>
    <row r="28" spans="1:14" ht="12.75" customHeight="1" thickBot="1" x14ac:dyDescent="0.3">
      <c r="A28" s="40">
        <f>SUM(A11:A27)</f>
        <v>114</v>
      </c>
      <c r="B28" s="22" t="s">
        <v>35</v>
      </c>
      <c r="D28" s="40">
        <v>0</v>
      </c>
      <c r="E28" s="2" t="s">
        <v>7</v>
      </c>
      <c r="G28" s="40">
        <v>0</v>
      </c>
      <c r="H28" s="16" t="s">
        <v>12</v>
      </c>
      <c r="J28" s="20" t="s">
        <v>146</v>
      </c>
      <c r="K28" s="5"/>
    </row>
    <row r="29" spans="1:14" ht="12.75" customHeight="1" x14ac:dyDescent="0.25">
      <c r="D29" s="40">
        <v>24</v>
      </c>
      <c r="E29" s="2" t="s">
        <v>8</v>
      </c>
      <c r="G29" s="40">
        <f>SUM(G26:G28)</f>
        <v>10</v>
      </c>
      <c r="H29" s="22" t="s">
        <v>35</v>
      </c>
      <c r="J29" s="40">
        <v>2</v>
      </c>
      <c r="K29" s="2" t="s">
        <v>45</v>
      </c>
    </row>
    <row r="30" spans="1:14" ht="12.75" customHeight="1" x14ac:dyDescent="0.25">
      <c r="D30" s="40">
        <v>0</v>
      </c>
      <c r="E30" s="2" t="s">
        <v>44</v>
      </c>
      <c r="H30" s="3"/>
      <c r="J30" s="40">
        <v>0</v>
      </c>
      <c r="K30" s="2" t="s">
        <v>46</v>
      </c>
    </row>
    <row r="31" spans="1:14" ht="12.75" customHeight="1" thickBot="1" x14ac:dyDescent="0.3">
      <c r="A31" s="17" t="s">
        <v>140</v>
      </c>
      <c r="B31" s="5"/>
      <c r="D31" s="40">
        <v>0</v>
      </c>
      <c r="E31" s="2" t="s">
        <v>15</v>
      </c>
      <c r="J31" s="40">
        <v>1</v>
      </c>
      <c r="K31" s="2" t="s">
        <v>30</v>
      </c>
    </row>
    <row r="32" spans="1:14" ht="12.75" customHeight="1" x14ac:dyDescent="0.25">
      <c r="A32" s="21">
        <v>6</v>
      </c>
      <c r="B32" t="s">
        <v>1</v>
      </c>
      <c r="D32" s="40">
        <v>0</v>
      </c>
      <c r="E32" s="2" t="s">
        <v>14</v>
      </c>
      <c r="H32" s="1" t="s">
        <v>190</v>
      </c>
      <c r="J32" s="40">
        <v>0</v>
      </c>
      <c r="K32" s="2" t="s">
        <v>145</v>
      </c>
      <c r="M32" s="22" t="s">
        <v>59</v>
      </c>
      <c r="N32" s="22"/>
    </row>
    <row r="33" spans="1:14" ht="12.75" customHeight="1" x14ac:dyDescent="0.25">
      <c r="D33" s="40">
        <v>0</v>
      </c>
      <c r="E33" s="2" t="s">
        <v>16</v>
      </c>
      <c r="H33" t="s">
        <v>191</v>
      </c>
      <c r="J33" s="40">
        <v>10</v>
      </c>
      <c r="K33" s="2" t="s">
        <v>7</v>
      </c>
      <c r="M33" s="40">
        <f>G7+J4+M17</f>
        <v>36</v>
      </c>
      <c r="N33" s="2" t="s">
        <v>44</v>
      </c>
    </row>
    <row r="34" spans="1:14" ht="12.75" customHeight="1" x14ac:dyDescent="0.25">
      <c r="D34" s="40">
        <v>0</v>
      </c>
      <c r="E34" s="2" t="s">
        <v>17</v>
      </c>
      <c r="J34" s="40">
        <v>4</v>
      </c>
      <c r="K34" s="16" t="s">
        <v>47</v>
      </c>
    </row>
    <row r="35" spans="1:14" ht="12.75" customHeight="1" thickBot="1" x14ac:dyDescent="0.3">
      <c r="A35" s="17" t="s">
        <v>60</v>
      </c>
      <c r="B35" s="5"/>
      <c r="D35" s="40">
        <v>0</v>
      </c>
      <c r="E35" s="2" t="s">
        <v>11</v>
      </c>
      <c r="F35" s="1"/>
      <c r="J35" s="40">
        <f>SUM(J29:J34)</f>
        <v>17</v>
      </c>
      <c r="K35" s="22" t="s">
        <v>35</v>
      </c>
    </row>
    <row r="36" spans="1:14" ht="12.75" customHeight="1" x14ac:dyDescent="0.25">
      <c r="A36" s="21">
        <v>18</v>
      </c>
      <c r="B36" t="s">
        <v>44</v>
      </c>
      <c r="D36" s="40">
        <v>0</v>
      </c>
      <c r="E36" s="2" t="s">
        <v>12</v>
      </c>
    </row>
    <row r="37" spans="1:14" ht="12.75" customHeight="1" x14ac:dyDescent="0.25">
      <c r="A37" s="71">
        <v>10</v>
      </c>
      <c r="B37" s="16" t="s">
        <v>54</v>
      </c>
      <c r="C37" s="23"/>
      <c r="D37" s="40">
        <v>0</v>
      </c>
      <c r="E37" s="2" t="s">
        <v>13</v>
      </c>
      <c r="G37" s="18"/>
      <c r="J37" s="2" t="s">
        <v>36</v>
      </c>
      <c r="K37" s="13">
        <v>4867945807</v>
      </c>
    </row>
    <row r="38" spans="1:14" ht="12.75" customHeight="1" x14ac:dyDescent="0.25">
      <c r="A38" s="11">
        <f>SUM(A36:A37)</f>
        <v>28</v>
      </c>
      <c r="B38" s="2" t="s">
        <v>35</v>
      </c>
      <c r="D38" s="40">
        <v>0</v>
      </c>
      <c r="E38" s="16" t="s">
        <v>68</v>
      </c>
    </row>
    <row r="39" spans="1:14" ht="12.75" customHeight="1" x14ac:dyDescent="0.25">
      <c r="A39" s="22"/>
      <c r="B39" s="22"/>
      <c r="D39" s="40">
        <f>SUM(D22:D38)</f>
        <v>54</v>
      </c>
      <c r="E39" s="22" t="s">
        <v>35</v>
      </c>
    </row>
    <row r="40" spans="1:14" ht="21" x14ac:dyDescent="0.35">
      <c r="A40" s="19" t="s">
        <v>85</v>
      </c>
    </row>
    <row r="42" spans="1:14" ht="15.75" thickBot="1" x14ac:dyDescent="0.3">
      <c r="A42" s="31" t="s">
        <v>80</v>
      </c>
      <c r="B42" s="5"/>
      <c r="C42" s="35" t="s">
        <v>147</v>
      </c>
      <c r="D42" s="31" t="s">
        <v>81</v>
      </c>
      <c r="E42" s="5"/>
      <c r="G42" s="31" t="s">
        <v>82</v>
      </c>
      <c r="H42" s="5"/>
      <c r="J42" s="31" t="s">
        <v>83</v>
      </c>
      <c r="K42" s="5"/>
    </row>
    <row r="43" spans="1:14" x14ac:dyDescent="0.25">
      <c r="A43" s="32">
        <f>A11+D22+G14+J8+M4</f>
        <v>1</v>
      </c>
      <c r="B43" s="2" t="s">
        <v>41</v>
      </c>
      <c r="C43" s="36">
        <f>D43*15</f>
        <v>0</v>
      </c>
      <c r="D43" s="15"/>
      <c r="E43" s="2" t="s">
        <v>19</v>
      </c>
      <c r="G43" s="13">
        <f>D4+J29</f>
        <v>2</v>
      </c>
      <c r="H43" s="2" t="s">
        <v>45</v>
      </c>
      <c r="J43" s="13">
        <f>A16+D27+D9+G19+J34+J13+M9</f>
        <v>36</v>
      </c>
      <c r="K43" s="2" t="s">
        <v>9</v>
      </c>
    </row>
    <row r="44" spans="1:14" x14ac:dyDescent="0.25">
      <c r="A44" s="27">
        <f>A12+D23+G15+J9+M5</f>
        <v>19</v>
      </c>
      <c r="B44" s="2" t="s">
        <v>42</v>
      </c>
      <c r="C44" s="36">
        <f t="shared" ref="C44:C50" si="0">D44*15</f>
        <v>0</v>
      </c>
      <c r="D44" s="14"/>
      <c r="E44" s="2" t="s">
        <v>20</v>
      </c>
      <c r="G44" s="13">
        <f>D5+J30+G26</f>
        <v>10</v>
      </c>
      <c r="H44" s="2" t="s">
        <v>46</v>
      </c>
      <c r="J44" s="13">
        <f>A6+A17+D8+D28+G20+J14+M10+J33</f>
        <v>68</v>
      </c>
      <c r="K44" s="2" t="s">
        <v>7</v>
      </c>
    </row>
    <row r="45" spans="1:14" x14ac:dyDescent="0.25">
      <c r="A45" s="27">
        <f>A13+D24+G16+J10+M6</f>
        <v>2</v>
      </c>
      <c r="B45" s="2" t="s">
        <v>4</v>
      </c>
      <c r="C45" s="36">
        <f t="shared" si="0"/>
        <v>0</v>
      </c>
      <c r="D45" s="14"/>
      <c r="E45" s="2" t="s">
        <v>27</v>
      </c>
      <c r="G45" s="13">
        <f>D6+J31+G27</f>
        <v>1</v>
      </c>
      <c r="H45" s="2" t="s">
        <v>30</v>
      </c>
      <c r="J45" s="13">
        <f>A18+D29+G21+J15+M11</f>
        <v>135</v>
      </c>
      <c r="K45" s="2" t="s">
        <v>8</v>
      </c>
    </row>
    <row r="46" spans="1:14" x14ac:dyDescent="0.25">
      <c r="A46" s="27">
        <f>A14+D25+G17+J11+M7</f>
        <v>2</v>
      </c>
      <c r="B46" s="2" t="s">
        <v>5</v>
      </c>
      <c r="C46" s="36">
        <f t="shared" si="0"/>
        <v>0</v>
      </c>
      <c r="D46" s="14"/>
      <c r="E46" s="2" t="s">
        <v>21</v>
      </c>
      <c r="G46" s="14">
        <f>D7+J32</f>
        <v>0</v>
      </c>
      <c r="H46" s="2" t="s">
        <v>144</v>
      </c>
      <c r="J46" s="13"/>
      <c r="K46" s="2" t="s">
        <v>55</v>
      </c>
    </row>
    <row r="47" spans="1:14" x14ac:dyDescent="0.25">
      <c r="A47" s="27">
        <f>A15+D26+G18+J12+M8+A37</f>
        <v>133</v>
      </c>
      <c r="B47" s="2" t="s">
        <v>6</v>
      </c>
      <c r="C47" s="36">
        <f>D47*12</f>
        <v>0</v>
      </c>
      <c r="D47" s="14"/>
      <c r="E47" s="2" t="s">
        <v>23</v>
      </c>
      <c r="J47" s="13">
        <f>A4+A19+A36+D14+D17+D30+G4+G7+G22+J4+J16</f>
        <v>74</v>
      </c>
      <c r="K47" s="2" t="s">
        <v>44</v>
      </c>
    </row>
    <row r="48" spans="1:14" x14ac:dyDescent="0.25">
      <c r="A48" s="27">
        <f>A20+D31+J17</f>
        <v>8</v>
      </c>
      <c r="B48" s="2" t="s">
        <v>15</v>
      </c>
      <c r="C48" s="36">
        <f>D48*10</f>
        <v>0</v>
      </c>
      <c r="D48" s="14"/>
      <c r="E48" s="2" t="s">
        <v>22</v>
      </c>
      <c r="J48" s="13">
        <f>A5</f>
        <v>0</v>
      </c>
      <c r="K48" s="2" t="s">
        <v>2</v>
      </c>
    </row>
    <row r="49" spans="1:11" x14ac:dyDescent="0.25">
      <c r="B49" s="2"/>
      <c r="C49" s="36">
        <f t="shared" si="0"/>
        <v>0</v>
      </c>
      <c r="D49" s="14"/>
      <c r="E49" s="2" t="s">
        <v>24</v>
      </c>
      <c r="J49" s="14">
        <f>A32+D18</f>
        <v>6</v>
      </c>
      <c r="K49" s="2" t="s">
        <v>1</v>
      </c>
    </row>
    <row r="50" spans="1:11" x14ac:dyDescent="0.25">
      <c r="B50" s="2"/>
      <c r="C50" s="36">
        <f t="shared" si="0"/>
        <v>0</v>
      </c>
      <c r="D50" s="14"/>
      <c r="E50" s="2" t="s">
        <v>25</v>
      </c>
      <c r="J50" s="14">
        <f>G11</f>
        <v>6</v>
      </c>
      <c r="K50" s="2" t="s">
        <v>0</v>
      </c>
    </row>
    <row r="51" spans="1:11" x14ac:dyDescent="0.25">
      <c r="B51" s="2"/>
      <c r="C51" s="36">
        <f>D51*8</f>
        <v>0</v>
      </c>
      <c r="D51" s="14"/>
      <c r="E51" s="2" t="s">
        <v>26</v>
      </c>
    </row>
    <row r="52" spans="1:11" x14ac:dyDescent="0.25">
      <c r="C52" s="36">
        <f>D52*8</f>
        <v>0</v>
      </c>
      <c r="D52" s="14"/>
      <c r="E52" s="2" t="s">
        <v>28</v>
      </c>
    </row>
    <row r="57" spans="1:11" ht="15.75" thickBot="1" x14ac:dyDescent="0.3">
      <c r="A57" s="31" t="s">
        <v>84</v>
      </c>
      <c r="B57" s="5"/>
      <c r="F57" s="35" t="s">
        <v>147</v>
      </c>
      <c r="G57" s="31" t="s">
        <v>86</v>
      </c>
      <c r="H57" s="5"/>
      <c r="J57" s="5" t="s">
        <v>180</v>
      </c>
      <c r="K57" s="31" t="s">
        <v>179</v>
      </c>
    </row>
    <row r="58" spans="1:11" x14ac:dyDescent="0.25">
      <c r="A58" s="13">
        <f>A21+D32+J18</f>
        <v>1</v>
      </c>
      <c r="B58" s="2" t="s">
        <v>14</v>
      </c>
      <c r="F58" s="36">
        <f>G58*15</f>
        <v>30</v>
      </c>
      <c r="G58" s="27">
        <f>A45</f>
        <v>2</v>
      </c>
      <c r="H58" s="2" t="s">
        <v>4</v>
      </c>
      <c r="J58" s="15">
        <f>IF(MOD((A11),24)=0,(A11)/24,0)+IF(MOD((D22),24)=0,(D22)/24,0)+IF(MOD((J8),24)=0,(J8)/24,0)</f>
        <v>0</v>
      </c>
      <c r="K58" t="s">
        <v>41</v>
      </c>
    </row>
    <row r="59" spans="1:11" x14ac:dyDescent="0.25">
      <c r="A59" s="13">
        <f>A22+D33+J19</f>
        <v>0</v>
      </c>
      <c r="B59" s="2" t="s">
        <v>16</v>
      </c>
      <c r="F59" s="36">
        <f t="shared" ref="F59:F61" si="1">G59*15</f>
        <v>120</v>
      </c>
      <c r="G59" s="21">
        <f>A48</f>
        <v>8</v>
      </c>
      <c r="H59" s="2" t="s">
        <v>15</v>
      </c>
      <c r="J59" s="14">
        <f>IF(MOD((A12),24)=0,(A12)/24,0)+IF(MOD((D23),24)=0,(D23)/24,0)+IF(MOD((J9),24)=0,(J9)/24,0)</f>
        <v>0</v>
      </c>
      <c r="K59" t="s">
        <v>42</v>
      </c>
    </row>
    <row r="60" spans="1:11" x14ac:dyDescent="0.25">
      <c r="A60" s="13">
        <f>A23+D34+J20</f>
        <v>0</v>
      </c>
      <c r="B60" s="2" t="s">
        <v>17</v>
      </c>
      <c r="F60" s="36">
        <f>G60*10</f>
        <v>1350</v>
      </c>
      <c r="G60" s="30">
        <f>J45</f>
        <v>135</v>
      </c>
      <c r="H60" s="2" t="s">
        <v>8</v>
      </c>
      <c r="J60" s="13">
        <f>IF(MOD((A15),20)=0,(A15)/20,0)+IF(MOD((D26),20)=0,(D26)/20,0)+IF(MOD((J12),20)=0,(J12)/20,0)</f>
        <v>4</v>
      </c>
      <c r="K60" s="2" t="s">
        <v>6</v>
      </c>
    </row>
    <row r="61" spans="1:11" x14ac:dyDescent="0.25">
      <c r="A61" s="13">
        <f>A24+D35+J21</f>
        <v>0</v>
      </c>
      <c r="B61" s="2" t="s">
        <v>11</v>
      </c>
      <c r="F61" s="36">
        <f t="shared" si="1"/>
        <v>30</v>
      </c>
      <c r="G61" s="27">
        <f>A46</f>
        <v>2</v>
      </c>
      <c r="H61" s="2" t="s">
        <v>5</v>
      </c>
      <c r="J61" s="14">
        <f>IF(MOD((D4),24)=0,(D4)/24,0)+IF(MOD((J29),24)=0,(J29)/24,0)</f>
        <v>0</v>
      </c>
      <c r="K61" s="2" t="s">
        <v>45</v>
      </c>
    </row>
    <row r="62" spans="1:11" x14ac:dyDescent="0.25">
      <c r="A62" s="13">
        <f>A25+D36+J22+G28+M12</f>
        <v>1</v>
      </c>
      <c r="B62" s="2" t="s">
        <v>12</v>
      </c>
      <c r="F62" s="36">
        <f>G62*15</f>
        <v>15</v>
      </c>
      <c r="G62" s="21">
        <f>G45</f>
        <v>1</v>
      </c>
      <c r="H62" s="2" t="s">
        <v>30</v>
      </c>
      <c r="J62" s="14">
        <f>IF(MOD((D5),24)=0,(D5)/24,0)+IF(MOD((J30),24)=0,(J30)/24,0)</f>
        <v>0</v>
      </c>
      <c r="K62" s="2" t="s">
        <v>46</v>
      </c>
    </row>
    <row r="63" spans="1:11" x14ac:dyDescent="0.25">
      <c r="A63" s="13">
        <f>A26+D37+J23</f>
        <v>1</v>
      </c>
      <c r="B63" s="2" t="s">
        <v>13</v>
      </c>
      <c r="F63" s="36">
        <f>G63*5</f>
        <v>665</v>
      </c>
      <c r="G63" s="21">
        <f>A47</f>
        <v>133</v>
      </c>
      <c r="H63" s="2" t="s">
        <v>54</v>
      </c>
      <c r="J63" s="14">
        <f>IF(MOD((D7),13)=0,(D7)/13,0)+IF(MOD((J32),13)=0,(J32)/13,0)</f>
        <v>0</v>
      </c>
      <c r="K63" s="2" t="s">
        <v>145</v>
      </c>
    </row>
    <row r="64" spans="1:11" x14ac:dyDescent="0.25">
      <c r="A64" s="13">
        <f>A27+D38+J24</f>
        <v>0</v>
      </c>
      <c r="B64" s="2" t="s">
        <v>18</v>
      </c>
      <c r="F64" s="36">
        <f>G64*8</f>
        <v>0</v>
      </c>
      <c r="G64" s="21">
        <f>G46</f>
        <v>0</v>
      </c>
      <c r="H64" s="2" t="s">
        <v>145</v>
      </c>
      <c r="J64" s="14">
        <f>IF(MOD((A17),24)=0,(A17)/24,0)+IF(MOD((D8),24)=0,(D8)/24,0)+IF(MOD((D28),24)=0,(D28)/24,0)+IF(MOD((J14),24)=0,(J14)/24,0)+IF(MOD((J33),24)=0,(J33)/24,0)</f>
        <v>1</v>
      </c>
      <c r="K64" s="2" t="s">
        <v>7</v>
      </c>
    </row>
    <row r="65" spans="2:11" x14ac:dyDescent="0.25">
      <c r="J65" s="14">
        <f>IF(MOD((A18),24)=0,(A18)/24,0)+IF(MOD((D29),24)=0,(D29)/24,0)+IF(MOD((J15),24)=0,(J15)/24,0)</f>
        <v>5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11:A12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15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7:A18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D4:D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D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D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22:D23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26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28:D29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J8:J9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J12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J14:J15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E17" sqref="E17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68" t="s">
        <v>153</v>
      </c>
      <c r="B1" s="68"/>
      <c r="C1" s="46">
        <f>Mon!B2+1</f>
        <v>20</v>
      </c>
      <c r="D1" s="47"/>
      <c r="E1" s="47"/>
      <c r="F1" s="64" t="s">
        <v>186</v>
      </c>
      <c r="G1" s="66">
        <f>Mon!C1+49-1</f>
        <v>45466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5" t="s">
        <v>152</v>
      </c>
      <c r="B4" s="17" t="s">
        <v>151</v>
      </c>
      <c r="C4" s="17"/>
      <c r="D4" s="43"/>
      <c r="E4" s="35" t="s">
        <v>152</v>
      </c>
      <c r="F4" s="17" t="s">
        <v>154</v>
      </c>
      <c r="G4" s="17"/>
      <c r="I4" s="35" t="s">
        <v>152</v>
      </c>
      <c r="J4" s="17" t="s">
        <v>155</v>
      </c>
      <c r="K4" s="17"/>
      <c r="M4" s="43"/>
      <c r="N4" s="2"/>
    </row>
    <row r="5" spans="1:14" ht="12.75" customHeight="1" x14ac:dyDescent="0.25">
      <c r="A5" s="36">
        <f>B5/48</f>
        <v>1</v>
      </c>
      <c r="B5" s="40">
        <v>48</v>
      </c>
      <c r="C5" s="2" t="s">
        <v>55</v>
      </c>
      <c r="D5" s="43"/>
      <c r="E5" s="36">
        <f>F5/48</f>
        <v>0</v>
      </c>
      <c r="F5" s="40">
        <v>0</v>
      </c>
      <c r="G5" s="2" t="s">
        <v>55</v>
      </c>
      <c r="I5" s="36">
        <f>J5/48</f>
        <v>1</v>
      </c>
      <c r="J5" s="40">
        <v>48</v>
      </c>
      <c r="K5" s="2" t="s">
        <v>55</v>
      </c>
      <c r="M5" s="43"/>
      <c r="N5" s="2"/>
    </row>
    <row r="6" spans="1:14" ht="12.75" customHeight="1" x14ac:dyDescent="0.25">
      <c r="A6" s="36">
        <f t="shared" ref="A6:A12" si="0">B6/48</f>
        <v>11</v>
      </c>
      <c r="B6" s="40">
        <v>528</v>
      </c>
      <c r="C6" s="2" t="s">
        <v>44</v>
      </c>
      <c r="D6" s="43"/>
      <c r="E6" s="36">
        <f t="shared" ref="E6:E12" si="1">F6/48</f>
        <v>0.5</v>
      </c>
      <c r="F6" s="40">
        <v>24</v>
      </c>
      <c r="G6" s="2" t="s">
        <v>44</v>
      </c>
      <c r="I6" s="36">
        <f t="shared" ref="I6:I12" si="2">J6/48</f>
        <v>4</v>
      </c>
      <c r="J6" s="40">
        <v>192</v>
      </c>
      <c r="K6" s="2" t="s">
        <v>44</v>
      </c>
      <c r="M6" s="43"/>
      <c r="N6" s="2"/>
    </row>
    <row r="7" spans="1:14" ht="12.75" customHeight="1" x14ac:dyDescent="0.25">
      <c r="A7" s="36">
        <f t="shared" si="0"/>
        <v>1</v>
      </c>
      <c r="B7" s="40">
        <v>48</v>
      </c>
      <c r="C7" s="2" t="s">
        <v>2</v>
      </c>
      <c r="D7" s="43"/>
      <c r="E7" s="36">
        <f t="shared" si="1"/>
        <v>0</v>
      </c>
      <c r="F7" s="40">
        <v>0</v>
      </c>
      <c r="G7" s="2" t="s">
        <v>2</v>
      </c>
      <c r="I7" s="36">
        <f t="shared" si="2"/>
        <v>1</v>
      </c>
      <c r="J7" s="40">
        <v>48</v>
      </c>
      <c r="K7" s="2" t="s">
        <v>2</v>
      </c>
      <c r="M7" s="43"/>
      <c r="N7" s="2"/>
    </row>
    <row r="8" spans="1:14" ht="12.75" customHeight="1" x14ac:dyDescent="0.25">
      <c r="A8" s="36">
        <f t="shared" si="0"/>
        <v>0</v>
      </c>
      <c r="B8" s="40">
        <v>0</v>
      </c>
      <c r="C8" s="2" t="s">
        <v>9</v>
      </c>
      <c r="D8" s="43"/>
      <c r="E8" s="36">
        <f t="shared" si="1"/>
        <v>0</v>
      </c>
      <c r="F8" s="40">
        <v>0</v>
      </c>
      <c r="G8" s="2" t="s">
        <v>9</v>
      </c>
      <c r="I8" s="36">
        <f t="shared" si="2"/>
        <v>0</v>
      </c>
      <c r="J8" s="40">
        <v>0</v>
      </c>
      <c r="K8" s="2" t="s">
        <v>9</v>
      </c>
      <c r="M8" s="43"/>
      <c r="N8" s="2"/>
    </row>
    <row r="9" spans="1:14" ht="12.75" customHeight="1" x14ac:dyDescent="0.25">
      <c r="A9" s="36">
        <f t="shared" si="0"/>
        <v>1</v>
      </c>
      <c r="B9" s="40">
        <v>48</v>
      </c>
      <c r="C9" s="2" t="s">
        <v>78</v>
      </c>
      <c r="D9" s="43"/>
      <c r="E9" s="36">
        <f t="shared" si="1"/>
        <v>0</v>
      </c>
      <c r="F9" s="40">
        <v>0</v>
      </c>
      <c r="G9" s="2" t="s">
        <v>78</v>
      </c>
      <c r="I9" s="36">
        <f t="shared" si="2"/>
        <v>3</v>
      </c>
      <c r="J9" s="40">
        <v>144</v>
      </c>
      <c r="K9" s="2" t="s">
        <v>78</v>
      </c>
      <c r="M9" s="43"/>
      <c r="N9" s="2"/>
    </row>
    <row r="10" spans="1:14" ht="12.75" customHeight="1" x14ac:dyDescent="0.25">
      <c r="A10" s="36">
        <f t="shared" si="0"/>
        <v>5</v>
      </c>
      <c r="B10" s="40">
        <v>240</v>
      </c>
      <c r="C10" s="2" t="s">
        <v>1</v>
      </c>
      <c r="D10" s="43"/>
      <c r="E10" s="36">
        <f t="shared" si="1"/>
        <v>0.5</v>
      </c>
      <c r="F10" s="40">
        <v>24</v>
      </c>
      <c r="G10" s="2" t="s">
        <v>1</v>
      </c>
      <c r="I10" s="36">
        <f t="shared" si="2"/>
        <v>0</v>
      </c>
      <c r="J10" s="40">
        <v>0</v>
      </c>
      <c r="K10" s="2" t="s">
        <v>1</v>
      </c>
      <c r="M10" s="43"/>
      <c r="N10" s="2"/>
    </row>
    <row r="11" spans="1:14" ht="12.75" customHeight="1" x14ac:dyDescent="0.25">
      <c r="A11" s="36">
        <f t="shared" si="0"/>
        <v>5</v>
      </c>
      <c r="B11" s="40">
        <v>240</v>
      </c>
      <c r="C11" s="16" t="s">
        <v>0</v>
      </c>
      <c r="D11" s="2"/>
      <c r="E11" s="36">
        <f t="shared" si="1"/>
        <v>0</v>
      </c>
      <c r="F11" s="40">
        <v>0</v>
      </c>
      <c r="G11" s="16" t="s">
        <v>0</v>
      </c>
      <c r="I11" s="36">
        <f t="shared" si="2"/>
        <v>0</v>
      </c>
      <c r="J11" s="40">
        <v>0</v>
      </c>
      <c r="K11" s="16" t="s">
        <v>0</v>
      </c>
      <c r="M11" s="43"/>
      <c r="N11" s="2"/>
    </row>
    <row r="12" spans="1:14" ht="12.75" customHeight="1" x14ac:dyDescent="0.25">
      <c r="A12" s="36">
        <f t="shared" si="0"/>
        <v>24</v>
      </c>
      <c r="B12" s="45">
        <f>SUM(B5:B11)</f>
        <v>1152</v>
      </c>
      <c r="C12" s="22" t="s">
        <v>35</v>
      </c>
      <c r="E12" s="36">
        <f t="shared" si="1"/>
        <v>1</v>
      </c>
      <c r="F12" s="45">
        <f>SUM(F5:F11)</f>
        <v>48</v>
      </c>
      <c r="G12" s="22" t="s">
        <v>35</v>
      </c>
      <c r="I12" s="36">
        <f t="shared" si="2"/>
        <v>9</v>
      </c>
      <c r="J12" s="45">
        <f>SUM(J5:J11)</f>
        <v>432</v>
      </c>
      <c r="K12" s="22" t="s">
        <v>35</v>
      </c>
      <c r="M12" s="43"/>
      <c r="N12" s="2"/>
    </row>
    <row r="13" spans="1:14" ht="12.75" customHeight="1" x14ac:dyDescent="0.25">
      <c r="A13" s="43"/>
      <c r="B13" s="2"/>
      <c r="D13" s="22"/>
      <c r="G13" s="22"/>
      <c r="H13" s="44"/>
      <c r="J13" s="43"/>
      <c r="K13" s="2"/>
      <c r="M13" s="43"/>
      <c r="N13" s="22"/>
    </row>
    <row r="14" spans="1:14" ht="12.75" customHeight="1" x14ac:dyDescent="0.25">
      <c r="A14" s="43"/>
      <c r="B14" s="2"/>
      <c r="D14" s="43"/>
      <c r="G14" s="43"/>
      <c r="H14" s="2"/>
      <c r="J14" s="43"/>
      <c r="K14" s="2"/>
    </row>
    <row r="15" spans="1:14" ht="12.75" customHeight="1" x14ac:dyDescent="0.25">
      <c r="A15" s="43"/>
      <c r="B15" s="2"/>
      <c r="F15" s="2"/>
      <c r="G15" s="43"/>
      <c r="H15" s="2"/>
      <c r="J15" s="43"/>
      <c r="K15" s="2"/>
    </row>
    <row r="16" spans="1:14" ht="12.75" customHeight="1" x14ac:dyDescent="0.25">
      <c r="A16" s="43"/>
      <c r="B16" s="2"/>
      <c r="D16" s="22"/>
      <c r="G16" s="43"/>
      <c r="H16" s="2"/>
      <c r="J16" s="43"/>
      <c r="K16" s="2"/>
      <c r="M16" s="22"/>
    </row>
    <row r="17" spans="1:14" ht="12.75" customHeight="1" x14ac:dyDescent="0.25">
      <c r="A17" s="43"/>
      <c r="B17" s="2"/>
      <c r="D17" s="43"/>
      <c r="E17" s="2"/>
      <c r="G17" s="43"/>
      <c r="H17" s="2"/>
      <c r="J17" s="43"/>
      <c r="K17" s="2"/>
      <c r="M17" s="43"/>
      <c r="N17" s="2"/>
    </row>
    <row r="18" spans="1:14" ht="12.75" customHeight="1" x14ac:dyDescent="0.25">
      <c r="A18" s="43"/>
      <c r="B18" s="2"/>
      <c r="D18" s="43"/>
      <c r="E18" s="2"/>
      <c r="G18" s="43"/>
      <c r="H18" s="2"/>
      <c r="J18" s="43"/>
      <c r="K18" s="2"/>
    </row>
    <row r="19" spans="1:14" ht="12.75" customHeight="1" x14ac:dyDescent="0.25">
      <c r="A19" s="43"/>
      <c r="B19" s="2"/>
      <c r="D19" s="43"/>
      <c r="E19" s="22"/>
      <c r="G19" s="43"/>
      <c r="H19" s="2"/>
      <c r="J19" s="43"/>
      <c r="K19" s="2"/>
    </row>
    <row r="20" spans="1:14" ht="12.75" customHeight="1" x14ac:dyDescent="0.25">
      <c r="A20" s="43"/>
      <c r="B20" s="2"/>
      <c r="G20" s="43"/>
      <c r="H20" s="2"/>
      <c r="J20" s="43"/>
      <c r="K20" s="2"/>
    </row>
    <row r="21" spans="1:14" ht="12.75" customHeight="1" x14ac:dyDescent="0.25">
      <c r="D21" s="22"/>
      <c r="E21" s="22"/>
      <c r="G21" s="43"/>
      <c r="H21" s="2"/>
      <c r="J21" s="43"/>
      <c r="K21" s="2"/>
    </row>
    <row r="22" spans="1:14" ht="12.75" customHeight="1" x14ac:dyDescent="0.25">
      <c r="D22" s="43"/>
      <c r="E22" s="2"/>
      <c r="G22" s="43"/>
      <c r="H22" s="2"/>
      <c r="J22" s="43"/>
      <c r="K22" s="2"/>
    </row>
    <row r="23" spans="1:14" ht="12.75" customHeight="1" x14ac:dyDescent="0.25">
      <c r="D23" s="43"/>
      <c r="E23" s="2"/>
      <c r="G23" s="43"/>
      <c r="H23" s="41"/>
      <c r="J23" s="43"/>
      <c r="K23" s="2"/>
    </row>
    <row r="24" spans="1:14" ht="12.75" customHeight="1" x14ac:dyDescent="0.25">
      <c r="D24" s="43"/>
      <c r="E24" s="2"/>
      <c r="J24" s="43"/>
      <c r="K24" s="2"/>
    </row>
    <row r="25" spans="1:14" ht="12.75" customHeight="1" x14ac:dyDescent="0.25">
      <c r="D25" s="43"/>
      <c r="E25" s="2"/>
      <c r="G25" s="22"/>
      <c r="H25" s="22"/>
      <c r="J25" s="43"/>
      <c r="K25" s="22"/>
    </row>
    <row r="26" spans="1:14" ht="12.75" customHeight="1" x14ac:dyDescent="0.25">
      <c r="D26" s="43"/>
      <c r="E26" s="2"/>
      <c r="G26" s="43"/>
      <c r="H26" s="2"/>
    </row>
    <row r="27" spans="1:14" ht="12.75" customHeight="1" x14ac:dyDescent="0.25">
      <c r="D27" s="43"/>
      <c r="E27" s="2"/>
      <c r="G27" s="43"/>
      <c r="H27" s="2"/>
    </row>
    <row r="28" spans="1:14" ht="12.75" customHeight="1" x14ac:dyDescent="0.25">
      <c r="D28" s="43"/>
      <c r="E28" s="2"/>
      <c r="G28" s="43"/>
      <c r="H28" s="2"/>
      <c r="J28" s="18"/>
    </row>
    <row r="29" spans="1:14" ht="12.75" customHeight="1" x14ac:dyDescent="0.25">
      <c r="D29" s="43"/>
      <c r="E29" s="2"/>
      <c r="G29" s="43"/>
      <c r="H29" s="22"/>
      <c r="J29" s="43"/>
      <c r="K29" s="2"/>
    </row>
    <row r="30" spans="1:14" ht="12.75" customHeight="1" x14ac:dyDescent="0.25">
      <c r="D30" s="43"/>
      <c r="E30" s="2"/>
      <c r="H30" s="3"/>
      <c r="J30" s="43"/>
      <c r="K30" s="2"/>
    </row>
    <row r="31" spans="1:14" ht="12.75" customHeight="1" x14ac:dyDescent="0.25">
      <c r="A31" s="22"/>
      <c r="D31" s="43"/>
      <c r="E31" s="2"/>
      <c r="J31" s="43"/>
      <c r="K31" s="2"/>
    </row>
    <row r="32" spans="1:14" ht="12.75" customHeight="1" x14ac:dyDescent="0.25">
      <c r="A32" s="24"/>
      <c r="D32" s="43"/>
      <c r="E32" s="2"/>
      <c r="J32" s="43"/>
      <c r="K32" s="2"/>
      <c r="M32" s="22"/>
      <c r="N32" s="22"/>
    </row>
    <row r="33" spans="1:14" ht="12.75" customHeight="1" x14ac:dyDescent="0.25">
      <c r="D33" s="43"/>
      <c r="E33" s="2"/>
      <c r="J33" s="43"/>
      <c r="K33" s="2"/>
      <c r="M33" s="43"/>
      <c r="N33" s="2"/>
    </row>
    <row r="34" spans="1:14" ht="12.75" customHeight="1" x14ac:dyDescent="0.25">
      <c r="D34" s="43"/>
      <c r="E34" s="2"/>
      <c r="J34" s="43"/>
      <c r="K34" s="2"/>
    </row>
    <row r="35" spans="1:14" ht="12.75" customHeight="1" x14ac:dyDescent="0.25">
      <c r="A35" s="22"/>
      <c r="D35" s="43"/>
      <c r="E35" s="2"/>
      <c r="F35" s="1"/>
      <c r="J35" s="43"/>
      <c r="K35" s="22"/>
    </row>
    <row r="36" spans="1:14" ht="12.75" customHeight="1" x14ac:dyDescent="0.25">
      <c r="A36" s="24"/>
      <c r="D36" s="43"/>
      <c r="E36" s="2"/>
    </row>
    <row r="37" spans="1:14" ht="12.75" customHeight="1" x14ac:dyDescent="0.25">
      <c r="B37" s="2"/>
      <c r="C37" s="23"/>
      <c r="D37" s="43"/>
      <c r="E37" s="2"/>
      <c r="G37" s="18"/>
      <c r="J37" s="2"/>
    </row>
    <row r="38" spans="1:14" ht="12.75" customHeight="1" x14ac:dyDescent="0.25">
      <c r="A38" s="11"/>
      <c r="B38" s="2"/>
      <c r="D38" s="43"/>
      <c r="E38" s="2"/>
    </row>
    <row r="39" spans="1:14" ht="12.75" customHeight="1" x14ac:dyDescent="0.25">
      <c r="A39" s="22"/>
      <c r="B39" s="22"/>
      <c r="D39" s="43"/>
      <c r="E39" s="22"/>
    </row>
    <row r="40" spans="1:14" ht="21" x14ac:dyDescent="0.35">
      <c r="A40" s="19" t="s">
        <v>85</v>
      </c>
    </row>
    <row r="42" spans="1:14" ht="15.75" thickBot="1" x14ac:dyDescent="0.3">
      <c r="A42" s="31" t="s">
        <v>80</v>
      </c>
      <c r="B42" s="5"/>
      <c r="C42" s="35" t="s">
        <v>147</v>
      </c>
      <c r="D42" s="31" t="s">
        <v>81</v>
      </c>
      <c r="E42" s="5"/>
      <c r="G42" s="31" t="s">
        <v>82</v>
      </c>
      <c r="H42" s="5"/>
      <c r="J42" s="31" t="s">
        <v>83</v>
      </c>
      <c r="K42" s="5"/>
    </row>
    <row r="43" spans="1:14" x14ac:dyDescent="0.25">
      <c r="A43" s="32"/>
      <c r="B43" s="2" t="s">
        <v>41</v>
      </c>
      <c r="C43" s="36">
        <f>D43*15</f>
        <v>0</v>
      </c>
      <c r="D43" s="15"/>
      <c r="E43" s="2" t="s">
        <v>19</v>
      </c>
      <c r="G43" s="13"/>
      <c r="H43" s="2" t="s">
        <v>45</v>
      </c>
      <c r="J43" s="48">
        <f>B8+F8+J8</f>
        <v>0</v>
      </c>
      <c r="K43" s="2" t="s">
        <v>9</v>
      </c>
    </row>
    <row r="44" spans="1:14" x14ac:dyDescent="0.25">
      <c r="A44" s="27"/>
      <c r="B44" s="2" t="s">
        <v>42</v>
      </c>
      <c r="C44" s="36">
        <f t="shared" ref="C44:C50" si="3">D44*15</f>
        <v>0</v>
      </c>
      <c r="D44" s="14"/>
      <c r="E44" s="2" t="s">
        <v>20</v>
      </c>
      <c r="G44" s="13"/>
      <c r="H44" s="2" t="s">
        <v>46</v>
      </c>
      <c r="J44" s="48">
        <f>B9+F9+J9</f>
        <v>192</v>
      </c>
      <c r="K44" s="2" t="s">
        <v>7</v>
      </c>
    </row>
    <row r="45" spans="1:14" x14ac:dyDescent="0.25">
      <c r="A45" s="27"/>
      <c r="B45" s="2" t="s">
        <v>4</v>
      </c>
      <c r="C45" s="36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7"/>
      <c r="B46" s="2" t="s">
        <v>5</v>
      </c>
      <c r="C46" s="36">
        <f t="shared" si="3"/>
        <v>0</v>
      </c>
      <c r="D46" s="14"/>
      <c r="E46" s="2" t="s">
        <v>21</v>
      </c>
      <c r="G46" s="14"/>
      <c r="H46" s="2" t="s">
        <v>144</v>
      </c>
      <c r="J46" s="48">
        <f>B5+F5+J5</f>
        <v>96</v>
      </c>
      <c r="K46" s="2" t="s">
        <v>55</v>
      </c>
    </row>
    <row r="47" spans="1:14" x14ac:dyDescent="0.25">
      <c r="A47" s="27"/>
      <c r="B47" s="2" t="s">
        <v>6</v>
      </c>
      <c r="C47" s="36">
        <f>D47*12</f>
        <v>0</v>
      </c>
      <c r="D47" s="14"/>
      <c r="E47" s="2" t="s">
        <v>23</v>
      </c>
      <c r="J47" s="48">
        <f t="shared" ref="J47:J48" si="4">B6+F6+J6</f>
        <v>744</v>
      </c>
      <c r="K47" s="2" t="s">
        <v>44</v>
      </c>
    </row>
    <row r="48" spans="1:14" x14ac:dyDescent="0.25">
      <c r="A48" s="27"/>
      <c r="B48" s="2" t="s">
        <v>15</v>
      </c>
      <c r="C48" s="36">
        <f>D48*10</f>
        <v>0</v>
      </c>
      <c r="D48" s="14"/>
      <c r="E48" s="2" t="s">
        <v>22</v>
      </c>
      <c r="J48" s="48">
        <f t="shared" si="4"/>
        <v>96</v>
      </c>
      <c r="K48" s="2" t="s">
        <v>2</v>
      </c>
    </row>
    <row r="49" spans="1:11" x14ac:dyDescent="0.25">
      <c r="B49" s="2"/>
      <c r="C49" s="36">
        <f t="shared" si="3"/>
        <v>0</v>
      </c>
      <c r="D49" s="14"/>
      <c r="E49" s="2" t="s">
        <v>24</v>
      </c>
      <c r="J49" s="49">
        <f>B10+F10+J10</f>
        <v>264</v>
      </c>
      <c r="K49" s="2" t="s">
        <v>1</v>
      </c>
    </row>
    <row r="50" spans="1:11" x14ac:dyDescent="0.25">
      <c r="B50" s="2"/>
      <c r="C50" s="36">
        <f t="shared" si="3"/>
        <v>0</v>
      </c>
      <c r="D50" s="14"/>
      <c r="E50" s="2" t="s">
        <v>25</v>
      </c>
      <c r="J50" s="49">
        <f>B11+F11+J11</f>
        <v>240</v>
      </c>
      <c r="K50" s="2" t="s">
        <v>0</v>
      </c>
    </row>
    <row r="51" spans="1:11" x14ac:dyDescent="0.25">
      <c r="B51" s="2"/>
      <c r="C51" s="36">
        <f>D51*8</f>
        <v>0</v>
      </c>
      <c r="D51" s="14"/>
      <c r="E51" s="2" t="s">
        <v>26</v>
      </c>
    </row>
    <row r="52" spans="1:11" x14ac:dyDescent="0.25">
      <c r="C52" s="36">
        <f>D52*8</f>
        <v>0</v>
      </c>
      <c r="D52" s="14"/>
      <c r="E52" s="2" t="s">
        <v>28</v>
      </c>
    </row>
    <row r="57" spans="1:11" ht="15.75" thickBot="1" x14ac:dyDescent="0.3">
      <c r="A57" s="31" t="s">
        <v>84</v>
      </c>
      <c r="B57" s="5"/>
      <c r="F57" s="35" t="s">
        <v>147</v>
      </c>
      <c r="G57" s="31" t="s">
        <v>86</v>
      </c>
      <c r="H57" s="5"/>
    </row>
    <row r="58" spans="1:11" x14ac:dyDescent="0.25">
      <c r="A58" s="13"/>
      <c r="B58" s="2" t="s">
        <v>14</v>
      </c>
      <c r="F58" s="36">
        <f>G58*15</f>
        <v>0</v>
      </c>
      <c r="G58" s="27">
        <f>A45</f>
        <v>0</v>
      </c>
      <c r="H58" s="2" t="s">
        <v>4</v>
      </c>
    </row>
    <row r="59" spans="1:11" x14ac:dyDescent="0.25">
      <c r="A59" s="13"/>
      <c r="B59" s="2" t="s">
        <v>16</v>
      </c>
      <c r="F59" s="36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6">
        <f>G60*10</f>
        <v>0</v>
      </c>
      <c r="G60" s="30">
        <f>J45</f>
        <v>0</v>
      </c>
      <c r="H60" s="2" t="s">
        <v>8</v>
      </c>
    </row>
    <row r="61" spans="1:11" x14ac:dyDescent="0.25">
      <c r="A61" s="13"/>
      <c r="B61" s="2" t="s">
        <v>11</v>
      </c>
      <c r="F61" s="36">
        <f t="shared" si="5"/>
        <v>0</v>
      </c>
      <c r="G61" s="27">
        <f>A46</f>
        <v>0</v>
      </c>
      <c r="H61" s="2" t="s">
        <v>5</v>
      </c>
    </row>
    <row r="62" spans="1:11" x14ac:dyDescent="0.25">
      <c r="A62" s="13"/>
      <c r="B62" s="2" t="s">
        <v>12</v>
      </c>
      <c r="F62" s="36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6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6">
        <f>G64*8</f>
        <v>0</v>
      </c>
      <c r="G64" s="21">
        <f>G46</f>
        <v>0</v>
      </c>
      <c r="H64" s="2" t="s">
        <v>145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Q38" sqref="Q38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68" t="s">
        <v>156</v>
      </c>
      <c r="B1" s="68"/>
      <c r="C1" s="46">
        <f>Mon!B2</f>
        <v>19</v>
      </c>
      <c r="D1" s="47"/>
      <c r="E1" s="47"/>
      <c r="N1" t="s">
        <v>173</v>
      </c>
      <c r="R1" t="s">
        <v>165</v>
      </c>
    </row>
    <row r="2" spans="1:24" ht="12.2" customHeight="1" x14ac:dyDescent="0.25">
      <c r="N2" s="57" t="s">
        <v>166</v>
      </c>
      <c r="O2" s="55" t="s">
        <v>167</v>
      </c>
      <c r="P2" s="55" t="s">
        <v>168</v>
      </c>
      <c r="R2" s="52"/>
      <c r="S2" s="52" t="s">
        <v>185</v>
      </c>
      <c r="T2" s="52" t="s">
        <v>157</v>
      </c>
      <c r="U2" s="52" t="s">
        <v>158</v>
      </c>
      <c r="V2" s="52" t="s">
        <v>159</v>
      </c>
      <c r="W2" s="52" t="s">
        <v>162</v>
      </c>
      <c r="X2" s="52" t="s">
        <v>163</v>
      </c>
    </row>
    <row r="3" spans="1:24" ht="12.75" customHeight="1" thickBot="1" x14ac:dyDescent="0.3">
      <c r="A3" s="31" t="s">
        <v>80</v>
      </c>
      <c r="B3" s="5"/>
      <c r="C3" s="24"/>
      <c r="D3" s="31" t="s">
        <v>81</v>
      </c>
      <c r="E3" s="5"/>
      <c r="G3" s="31" t="s">
        <v>82</v>
      </c>
      <c r="H3" s="5"/>
      <c r="J3" s="31" t="s">
        <v>83</v>
      </c>
      <c r="K3" s="5"/>
      <c r="M3" s="22"/>
      <c r="N3" s="53" t="s">
        <v>9</v>
      </c>
      <c r="O3" s="54">
        <f>J4*12</f>
        <v>1572</v>
      </c>
      <c r="P3" s="54">
        <f>O3/125</f>
        <v>12.576000000000001</v>
      </c>
      <c r="R3" s="52" t="s">
        <v>160</v>
      </c>
      <c r="S3" s="56">
        <f>12*(D8+J4)</f>
        <v>1668</v>
      </c>
      <c r="T3" s="56">
        <f>15*(A4+D4+G4+J7+J5)+20*D12</f>
        <v>10560</v>
      </c>
      <c r="U3" s="56">
        <f>15*(A5+A9+D5+D9+D10+D11+G5+J6+J8+J10)+20*(A8+D13+G7)</f>
        <v>42075</v>
      </c>
      <c r="V3" s="56">
        <f>15*(A6+J11)</f>
        <v>3870</v>
      </c>
      <c r="W3" s="56">
        <f>15*D6</f>
        <v>90</v>
      </c>
      <c r="X3" s="56">
        <f>15*(A7+D7+G6+J9)</f>
        <v>2310</v>
      </c>
    </row>
    <row r="4" spans="1:24" ht="12.75" customHeight="1" x14ac:dyDescent="0.25">
      <c r="A4" s="32">
        <f>Mon!A70+Tues!A43+Wed!A41+Thurs!A72+Fri!A43+NFLD!A43</f>
        <v>15</v>
      </c>
      <c r="B4" s="2" t="s">
        <v>41</v>
      </c>
      <c r="C4" s="7"/>
      <c r="D4" s="32">
        <f>Mon!D70+Tues!D43+Wed!D41+Thurs!D72+Fri!D43+NFLD!D43</f>
        <v>32</v>
      </c>
      <c r="E4" s="2" t="s">
        <v>19</v>
      </c>
      <c r="F4" s="7"/>
      <c r="G4" s="32">
        <f>Mon!G70+Tues!G43+Wed!G41+Thurs!G72+Fri!G43+NFLD!G43</f>
        <v>7</v>
      </c>
      <c r="H4" s="2" t="s">
        <v>45</v>
      </c>
      <c r="I4" s="7"/>
      <c r="J4" s="32">
        <f>Mon!J70+Tues!J43+Wed!J41+Thurs!J72+Fri!J43+NFLD!J43</f>
        <v>131</v>
      </c>
      <c r="K4" s="2" t="s">
        <v>9</v>
      </c>
      <c r="M4" s="43"/>
      <c r="N4" s="53" t="s">
        <v>7</v>
      </c>
      <c r="O4" s="54">
        <f>J5*10</f>
        <v>5290</v>
      </c>
      <c r="P4" s="54">
        <f>O4/130</f>
        <v>40.692307692307693</v>
      </c>
      <c r="R4" s="52" t="s">
        <v>161</v>
      </c>
      <c r="S4" s="56">
        <f t="shared" ref="S4:X4" si="0">S3/15</f>
        <v>111.2</v>
      </c>
      <c r="T4" s="56">
        <f t="shared" si="0"/>
        <v>704</v>
      </c>
      <c r="U4" s="56">
        <f t="shared" si="0"/>
        <v>2805</v>
      </c>
      <c r="V4" s="56">
        <f t="shared" si="0"/>
        <v>258</v>
      </c>
      <c r="W4" s="56">
        <f t="shared" si="0"/>
        <v>6</v>
      </c>
      <c r="X4" s="56">
        <f t="shared" si="0"/>
        <v>154</v>
      </c>
    </row>
    <row r="5" spans="1:24" ht="12.75" customHeight="1" x14ac:dyDescent="0.25">
      <c r="A5" s="27">
        <f>Mon!A71+Tues!A44+Wed!A42+Thurs!A73+Fri!A44+NFLD!A44</f>
        <v>123</v>
      </c>
      <c r="B5" s="2" t="s">
        <v>42</v>
      </c>
      <c r="C5" s="24"/>
      <c r="D5" s="27">
        <f>Mon!D71+Tues!D44+Wed!D42+Thurs!D73+Fri!D44+NFLD!D44</f>
        <v>70</v>
      </c>
      <c r="E5" s="2" t="s">
        <v>20</v>
      </c>
      <c r="G5" s="27">
        <f>Mon!G71+Tues!G44+Wed!G42+Thurs!G73+Fri!G44+NFLD!G44</f>
        <v>307</v>
      </c>
      <c r="H5" s="2" t="s">
        <v>46</v>
      </c>
      <c r="J5" s="27">
        <f>Mon!J71+Tues!J44+Wed!J42+Thurs!J73+Fri!J44+NFLD!J44</f>
        <v>529</v>
      </c>
      <c r="K5" s="2" t="s">
        <v>7</v>
      </c>
      <c r="M5" s="43"/>
      <c r="N5" s="53" t="s">
        <v>8</v>
      </c>
      <c r="O5" s="54">
        <f>J6*10</f>
        <v>2610</v>
      </c>
      <c r="P5" s="54">
        <f t="shared" ref="P5:P25" si="1">O5/130</f>
        <v>20.076923076923077</v>
      </c>
      <c r="R5" s="62"/>
      <c r="S5" s="63"/>
      <c r="T5" s="63"/>
      <c r="U5" s="63"/>
      <c r="V5" s="63"/>
      <c r="W5" s="63"/>
      <c r="X5" s="63"/>
    </row>
    <row r="6" spans="1:24" ht="12.75" customHeight="1" x14ac:dyDescent="0.25">
      <c r="A6" s="27">
        <f>Mon!A72+Tues!A45+Wed!A43+Thurs!A74+Fri!A45+NFLD!A45</f>
        <v>8</v>
      </c>
      <c r="B6" s="2" t="s">
        <v>4</v>
      </c>
      <c r="C6" s="24"/>
      <c r="D6" s="27">
        <f>Mon!D72+Tues!D45+Wed!D43+Thurs!D74+Fri!D45+NFLD!D45</f>
        <v>6</v>
      </c>
      <c r="E6" s="2" t="s">
        <v>27</v>
      </c>
      <c r="G6" s="27">
        <f>Mon!G72+Tues!G45+Wed!G43+Thurs!G74+Fri!G45+NFLD!G45</f>
        <v>12</v>
      </c>
      <c r="H6" s="2" t="s">
        <v>30</v>
      </c>
      <c r="J6" s="27">
        <f>Mon!J72+Tues!J45+Wed!J43+Thurs!J74+Fri!J45+NFLD!J45</f>
        <v>261</v>
      </c>
      <c r="K6" s="2" t="s">
        <v>8</v>
      </c>
      <c r="M6" s="43"/>
      <c r="N6" s="53" t="s">
        <v>55</v>
      </c>
      <c r="O6" s="54">
        <f>J7*15</f>
        <v>1755</v>
      </c>
      <c r="P6" s="54">
        <f>O6/150</f>
        <v>11.7</v>
      </c>
    </row>
    <row r="7" spans="1:24" ht="12.75" customHeight="1" x14ac:dyDescent="0.25">
      <c r="A7" s="27">
        <f>Mon!A73+Tues!A46+Wed!A44+Thurs!A75+Fri!A46+NFLD!A46</f>
        <v>27</v>
      </c>
      <c r="B7" s="2" t="s">
        <v>5</v>
      </c>
      <c r="C7" s="24"/>
      <c r="D7" s="27">
        <f>Mon!D73+Tues!D46+Wed!D44+Thurs!D75+Fri!D46+NFLD!D46</f>
        <v>8</v>
      </c>
      <c r="E7" s="2" t="s">
        <v>21</v>
      </c>
      <c r="G7" s="27">
        <f>Mon!G73+Tues!G46+Wed!G44+Thurs!G75+Fri!G46+NFLD!G46</f>
        <v>41</v>
      </c>
      <c r="H7" s="2" t="s">
        <v>144</v>
      </c>
      <c r="J7" s="27">
        <f>Mon!J73+Tues!J46+Wed!J44+Thurs!J75+Fri!J46+NFLD!J46</f>
        <v>117</v>
      </c>
      <c r="K7" s="2" t="s">
        <v>55</v>
      </c>
      <c r="M7" s="43"/>
      <c r="N7" s="53" t="s">
        <v>44</v>
      </c>
      <c r="O7" s="54">
        <f t="shared" ref="O7" si="2">J8*15</f>
        <v>14370</v>
      </c>
      <c r="P7" s="54">
        <f t="shared" ref="P7:P8" si="3">O7/150</f>
        <v>95.8</v>
      </c>
      <c r="R7" s="12" t="s">
        <v>148</v>
      </c>
      <c r="S7" s="61">
        <f>Mon!B2</f>
        <v>19</v>
      </c>
    </row>
    <row r="8" spans="1:24" ht="12.75" customHeight="1" x14ac:dyDescent="0.25">
      <c r="A8" s="27">
        <f>Mon!A74+Tues!A47+Wed!A45+Thurs!A76+Fri!A47+NFLD!A47</f>
        <v>339</v>
      </c>
      <c r="B8" s="2" t="s">
        <v>6</v>
      </c>
      <c r="C8" s="24"/>
      <c r="D8" s="27">
        <f>Mon!D74+Tues!D47+Wed!D45+Thurs!D76+Fri!D47+NFLD!D47</f>
        <v>8</v>
      </c>
      <c r="E8" s="2" t="s">
        <v>23</v>
      </c>
      <c r="J8" s="27">
        <f>Mon!J74+Tues!J47+Wed!J45+Thurs!J76+Fri!J47+NFLD!J47</f>
        <v>958</v>
      </c>
      <c r="K8" s="2" t="s">
        <v>44</v>
      </c>
      <c r="M8" s="43"/>
      <c r="N8" s="53" t="s">
        <v>2</v>
      </c>
      <c r="O8" s="54">
        <f>J9*15</f>
        <v>1605</v>
      </c>
      <c r="P8" s="54">
        <f t="shared" si="3"/>
        <v>10.7</v>
      </c>
      <c r="S8" s="58"/>
      <c r="T8" s="59"/>
      <c r="U8" s="59"/>
    </row>
    <row r="9" spans="1:24" ht="12.75" customHeight="1" x14ac:dyDescent="0.25">
      <c r="A9" s="34">
        <f>Mon!A75+Tues!A48+Wed!A46+Thurs!A77+Fri!A48+NFLD!A48</f>
        <v>26</v>
      </c>
      <c r="B9" s="2" t="s">
        <v>15</v>
      </c>
      <c r="C9" s="24"/>
      <c r="D9" s="27">
        <f>Mon!D75+Tues!D48+Wed!D46+Thurs!D77+Fri!D48+NFLD!D48</f>
        <v>89</v>
      </c>
      <c r="E9" s="2" t="s">
        <v>22</v>
      </c>
      <c r="J9" s="27">
        <f>Mon!J75+Tues!J48+Wed!J46+Thurs!J77+Fri!J48+NFLD!J48</f>
        <v>107</v>
      </c>
      <c r="K9" s="2" t="s">
        <v>2</v>
      </c>
      <c r="M9" s="43"/>
      <c r="N9" s="53" t="s">
        <v>164</v>
      </c>
      <c r="O9" s="54">
        <f>7*(J10+J11)+8*(D12+D13+G7)+5*A9</f>
        <v>5274</v>
      </c>
      <c r="P9" s="54">
        <f>O9/140</f>
        <v>37.671428571428571</v>
      </c>
      <c r="S9" s="60"/>
    </row>
    <row r="10" spans="1:24" ht="12.75" customHeight="1" x14ac:dyDescent="0.25">
      <c r="A10" s="7"/>
      <c r="B10" s="2"/>
      <c r="C10" s="24"/>
      <c r="D10" s="27">
        <f>Mon!D76+Tues!D49+Wed!D47+Thurs!D78+Fri!D49+NFLD!D49</f>
        <v>8</v>
      </c>
      <c r="E10" s="2" t="s">
        <v>24</v>
      </c>
      <c r="J10" s="27">
        <f>Mon!J76+Tues!J49+Wed!J47+Thurs!J78+Fri!J49+NFLD!J49</f>
        <v>310</v>
      </c>
      <c r="K10" s="2" t="s">
        <v>1</v>
      </c>
      <c r="M10" s="43"/>
      <c r="N10" s="53" t="s">
        <v>41</v>
      </c>
      <c r="O10" s="54">
        <f>A4*15</f>
        <v>225</v>
      </c>
      <c r="P10" s="54">
        <f>O10/250</f>
        <v>0.9</v>
      </c>
      <c r="S10" s="60"/>
    </row>
    <row r="11" spans="1:24" ht="12.75" customHeight="1" x14ac:dyDescent="0.25">
      <c r="A11" s="7"/>
      <c r="B11" s="2"/>
      <c r="C11" s="24"/>
      <c r="D11" s="27">
        <f>Mon!D77+Tues!D50+Wed!D48+Thurs!D79+Fri!D50+NFLD!D50</f>
        <v>1</v>
      </c>
      <c r="E11" s="2" t="s">
        <v>25</v>
      </c>
      <c r="J11" s="27">
        <f>Mon!J77+Tues!J50+Wed!J48+Thurs!J79+Fri!J50+NFLD!J50</f>
        <v>250</v>
      </c>
      <c r="K11" s="2" t="s">
        <v>0</v>
      </c>
      <c r="M11" s="43"/>
      <c r="N11" s="53" t="s">
        <v>42</v>
      </c>
      <c r="O11" s="54">
        <f t="shared" ref="O11:O12" si="4">A5*15</f>
        <v>1845</v>
      </c>
      <c r="P11" s="54">
        <f t="shared" ref="P11:P13" si="5">O11/250</f>
        <v>7.38</v>
      </c>
      <c r="S11" s="60"/>
    </row>
    <row r="12" spans="1:24" ht="14.1" customHeight="1" x14ac:dyDescent="0.25">
      <c r="A12" s="7"/>
      <c r="B12" s="2"/>
      <c r="C12" s="24"/>
      <c r="D12" s="27">
        <f>Mon!D78+Tues!D51+Wed!D49+Thurs!D80+Fri!D51+NFLD!D51</f>
        <v>3</v>
      </c>
      <c r="E12" s="2" t="s">
        <v>26</v>
      </c>
      <c r="M12" s="43"/>
      <c r="N12" s="53" t="s">
        <v>4</v>
      </c>
      <c r="O12" s="54">
        <f t="shared" si="4"/>
        <v>120</v>
      </c>
      <c r="P12" s="54">
        <f t="shared" si="5"/>
        <v>0.48</v>
      </c>
      <c r="S12" s="60"/>
    </row>
    <row r="13" spans="1:24" ht="12.75" customHeight="1" x14ac:dyDescent="0.25">
      <c r="A13" s="7"/>
      <c r="C13" s="24"/>
      <c r="D13" s="27">
        <f>Mon!D79+Tues!D52+Wed!D50+Thurs!D81+Fri!D52+NFLD!D52</f>
        <v>109</v>
      </c>
      <c r="E13" s="2" t="s">
        <v>28</v>
      </c>
      <c r="M13" s="43"/>
      <c r="N13" s="53" t="s">
        <v>5</v>
      </c>
      <c r="O13" s="54">
        <f>A7*15</f>
        <v>405</v>
      </c>
      <c r="P13" s="54">
        <f t="shared" si="5"/>
        <v>1.62</v>
      </c>
      <c r="S13" s="60"/>
    </row>
    <row r="14" spans="1:24" ht="12.75" customHeight="1" x14ac:dyDescent="0.25">
      <c r="A14" s="7"/>
      <c r="N14" s="53" t="s">
        <v>169</v>
      </c>
      <c r="O14" s="54">
        <f>5*A9</f>
        <v>130</v>
      </c>
      <c r="P14" s="54">
        <f>O14/50</f>
        <v>2.6</v>
      </c>
      <c r="S14" s="60"/>
    </row>
    <row r="15" spans="1:24" ht="12.75" customHeight="1" x14ac:dyDescent="0.25">
      <c r="A15" s="7"/>
      <c r="D15" s="24"/>
      <c r="L15" s="2"/>
      <c r="N15" s="53" t="s">
        <v>15</v>
      </c>
      <c r="O15" s="54">
        <f>15*A9</f>
        <v>390</v>
      </c>
      <c r="P15" s="54">
        <f>O15/250</f>
        <v>1.56</v>
      </c>
    </row>
    <row r="16" spans="1:24" ht="12.75" customHeight="1" thickBot="1" x14ac:dyDescent="0.3">
      <c r="A16" s="50" t="s">
        <v>84</v>
      </c>
      <c r="B16" s="5"/>
      <c r="D16" s="31" t="s">
        <v>86</v>
      </c>
      <c r="E16" s="5"/>
      <c r="G16" s="5" t="s">
        <v>180</v>
      </c>
      <c r="H16" s="31" t="s">
        <v>179</v>
      </c>
      <c r="M16" s="22"/>
      <c r="N16" s="53" t="s">
        <v>45</v>
      </c>
      <c r="O16" s="54">
        <f>15*G4</f>
        <v>105</v>
      </c>
      <c r="P16" s="54">
        <f t="shared" ref="P16:P18" si="6">O16/250</f>
        <v>0.42</v>
      </c>
    </row>
    <row r="17" spans="1:24" ht="12.75" customHeight="1" x14ac:dyDescent="0.25">
      <c r="A17" s="33">
        <f>Mon!A85+Tues!A58+Wed!A56+Thurs!A87+Fri!A58+NFLD!A58</f>
        <v>7</v>
      </c>
      <c r="B17" s="2" t="s">
        <v>14</v>
      </c>
      <c r="D17" s="27">
        <f>A6</f>
        <v>8</v>
      </c>
      <c r="E17" s="2" t="s">
        <v>4</v>
      </c>
      <c r="G17" s="15">
        <f>Mon!J85+Tues!J58+Thurs!J87+Fri!J58</f>
        <v>0</v>
      </c>
      <c r="H17" t="s">
        <v>41</v>
      </c>
      <c r="M17" s="43"/>
      <c r="N17" s="53" t="s">
        <v>46</v>
      </c>
      <c r="O17" s="54">
        <f t="shared" ref="O17:O18" si="7">15*G5</f>
        <v>4605</v>
      </c>
      <c r="P17" s="54">
        <f t="shared" si="6"/>
        <v>18.420000000000002</v>
      </c>
    </row>
    <row r="18" spans="1:24" ht="12.75" customHeight="1" x14ac:dyDescent="0.25">
      <c r="A18" s="27">
        <f>Mon!A86+Tues!A59+Wed!A57+Thurs!A88+Fri!A59+NFLD!A59</f>
        <v>9</v>
      </c>
      <c r="B18" s="2" t="s">
        <v>16</v>
      </c>
      <c r="D18" s="21">
        <f>A9</f>
        <v>26</v>
      </c>
      <c r="E18" s="2" t="s">
        <v>15</v>
      </c>
      <c r="F18" s="24"/>
      <c r="G18" s="14">
        <f>Mon!J86+Tues!J59+Thurs!J88+Fri!J59</f>
        <v>1</v>
      </c>
      <c r="H18" t="s">
        <v>42</v>
      </c>
      <c r="N18" s="53" t="s">
        <v>30</v>
      </c>
      <c r="O18" s="54">
        <f t="shared" si="7"/>
        <v>180</v>
      </c>
      <c r="P18" s="54">
        <f t="shared" si="6"/>
        <v>0.72</v>
      </c>
    </row>
    <row r="19" spans="1:24" ht="12.75" customHeight="1" x14ac:dyDescent="0.25">
      <c r="A19" s="27">
        <f>Mon!A87+Tues!A60+Wed!A58+Thurs!A89+Fri!A60+NFLD!A60</f>
        <v>4</v>
      </c>
      <c r="B19" s="2" t="s">
        <v>17</v>
      </c>
      <c r="D19" s="30">
        <f>J6</f>
        <v>261</v>
      </c>
      <c r="E19" s="2" t="s">
        <v>8</v>
      </c>
      <c r="F19" s="24"/>
      <c r="G19" s="14">
        <f>Mon!J87+Tues!J60+Thurs!J89+Fri!J60</f>
        <v>9</v>
      </c>
      <c r="H19" s="2" t="s">
        <v>6</v>
      </c>
      <c r="N19" s="53" t="s">
        <v>170</v>
      </c>
      <c r="O19" s="54">
        <f>8*G7</f>
        <v>328</v>
      </c>
      <c r="P19" s="54">
        <f>O19/50</f>
        <v>6.56</v>
      </c>
    </row>
    <row r="20" spans="1:24" ht="12.75" customHeight="1" x14ac:dyDescent="0.25">
      <c r="A20" s="27">
        <f>Mon!A88+Tues!A61+Wed!A59+Thurs!A90+Fri!A61+NFLD!A61</f>
        <v>1</v>
      </c>
      <c r="B20" s="2" t="s">
        <v>11</v>
      </c>
      <c r="D20" s="27">
        <f>A7</f>
        <v>27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3" t="s">
        <v>19</v>
      </c>
      <c r="O20" s="54">
        <f>15*D4</f>
        <v>480</v>
      </c>
      <c r="P20" s="54">
        <f>O20/150</f>
        <v>3.2</v>
      </c>
    </row>
    <row r="21" spans="1:24" ht="12.75" customHeight="1" x14ac:dyDescent="0.25">
      <c r="A21" s="27">
        <f>Mon!A89+Tues!A62+Wed!A60+Thurs!A91+Fri!A62+NFLD!A62</f>
        <v>5</v>
      </c>
      <c r="B21" s="2" t="s">
        <v>12</v>
      </c>
      <c r="D21" s="21">
        <f>G6</f>
        <v>12</v>
      </c>
      <c r="E21" s="2" t="s">
        <v>30</v>
      </c>
      <c r="F21" s="24"/>
      <c r="G21" s="14">
        <f>Mon!J89+Tues!J62+Thurs!J91+Fri!J62</f>
        <v>5</v>
      </c>
      <c r="H21" s="2" t="s">
        <v>46</v>
      </c>
      <c r="N21" s="53" t="s">
        <v>20</v>
      </c>
      <c r="O21" s="54">
        <f t="shared" ref="O21:O23" si="8">15*D5</f>
        <v>1050</v>
      </c>
      <c r="P21" s="54">
        <f t="shared" ref="P21:P23" si="9">O21/150</f>
        <v>7</v>
      </c>
    </row>
    <row r="22" spans="1:24" ht="12.75" customHeight="1" x14ac:dyDescent="0.25">
      <c r="A22" s="27">
        <f>Mon!A90+Tues!A63+Wed!A61+Thurs!A92+Fri!A63+NFLD!A63</f>
        <v>4</v>
      </c>
      <c r="B22" s="2" t="s">
        <v>13</v>
      </c>
      <c r="D22" s="21">
        <f>A8</f>
        <v>339</v>
      </c>
      <c r="E22" s="2" t="s">
        <v>54</v>
      </c>
      <c r="F22" s="24"/>
      <c r="G22" s="14">
        <f>Mon!J90+Tues!J63+Thurs!J92+Fri!J63</f>
        <v>0</v>
      </c>
      <c r="H22" s="2" t="s">
        <v>145</v>
      </c>
      <c r="N22" s="53" t="s">
        <v>27</v>
      </c>
      <c r="O22" s="54">
        <f t="shared" si="8"/>
        <v>90</v>
      </c>
      <c r="P22" s="54">
        <f t="shared" si="9"/>
        <v>0.6</v>
      </c>
    </row>
    <row r="23" spans="1:24" ht="12.75" customHeight="1" x14ac:dyDescent="0.25">
      <c r="A23" s="27">
        <f>Mon!A91+Tues!A64+Wed!A62+Thurs!A93+Fri!A64+NFLD!A64</f>
        <v>1</v>
      </c>
      <c r="B23" s="2" t="s">
        <v>18</v>
      </c>
      <c r="D23" s="21">
        <f>G7</f>
        <v>41</v>
      </c>
      <c r="E23" s="2" t="s">
        <v>145</v>
      </c>
      <c r="F23" s="24"/>
      <c r="G23" s="14">
        <f>Mon!J91+Tues!J64+Thurs!J93+Fri!J64</f>
        <v>7</v>
      </c>
      <c r="H23" s="2" t="s">
        <v>7</v>
      </c>
      <c r="N23" s="53" t="s">
        <v>21</v>
      </c>
      <c r="O23" s="54">
        <f t="shared" si="8"/>
        <v>120</v>
      </c>
      <c r="P23" s="54">
        <f t="shared" si="9"/>
        <v>0.8</v>
      </c>
    </row>
    <row r="24" spans="1:24" ht="12.75" customHeight="1" x14ac:dyDescent="0.25">
      <c r="F24" s="24"/>
      <c r="G24" s="14">
        <f>Mon!J92+Tues!J65+Thurs!J94+Fri!J65</f>
        <v>10</v>
      </c>
      <c r="H24" s="2" t="s">
        <v>8</v>
      </c>
      <c r="N24" s="53" t="s">
        <v>23</v>
      </c>
      <c r="O24" s="54">
        <f>12*D8</f>
        <v>96</v>
      </c>
      <c r="P24" s="54">
        <f>O24/125</f>
        <v>0.76800000000000002</v>
      </c>
    </row>
    <row r="25" spans="1:24" ht="12.75" customHeight="1" x14ac:dyDescent="0.25">
      <c r="F25" s="24"/>
      <c r="N25" s="53" t="s">
        <v>22</v>
      </c>
      <c r="O25" s="54">
        <f>10*D9</f>
        <v>890</v>
      </c>
      <c r="P25" s="54">
        <f t="shared" si="1"/>
        <v>6.8461538461538458</v>
      </c>
    </row>
    <row r="26" spans="1:24" ht="12.75" customHeight="1" x14ac:dyDescent="0.25">
      <c r="D26" s="43"/>
      <c r="E26" s="2"/>
      <c r="G26" s="43"/>
      <c r="H26" s="2"/>
      <c r="N26" s="53" t="s">
        <v>24</v>
      </c>
      <c r="O26" s="54">
        <f>15*D10</f>
        <v>120</v>
      </c>
      <c r="P26" s="54">
        <f>O26/125</f>
        <v>0.96</v>
      </c>
    </row>
    <row r="27" spans="1:24" ht="12.75" customHeight="1" x14ac:dyDescent="0.25">
      <c r="D27" s="43"/>
      <c r="E27" s="2"/>
      <c r="G27" s="43"/>
      <c r="H27" s="2"/>
      <c r="N27" s="53" t="s">
        <v>25</v>
      </c>
      <c r="O27" s="54">
        <f>15*D11</f>
        <v>15</v>
      </c>
      <c r="P27" s="54">
        <f>O27/125</f>
        <v>0.12</v>
      </c>
    </row>
    <row r="28" spans="1:24" ht="12.75" customHeight="1" x14ac:dyDescent="0.25">
      <c r="D28" s="43"/>
      <c r="E28" s="2"/>
      <c r="J28" s="18"/>
      <c r="N28" s="53" t="s">
        <v>171</v>
      </c>
      <c r="O28" s="54">
        <f>8*D12</f>
        <v>24</v>
      </c>
      <c r="P28" s="54">
        <f>O28/50</f>
        <v>0.48</v>
      </c>
    </row>
    <row r="29" spans="1:24" ht="12.75" customHeight="1" x14ac:dyDescent="0.25">
      <c r="D29" s="43"/>
      <c r="E29" s="2"/>
      <c r="J29" s="43"/>
      <c r="N29" s="53" t="s">
        <v>172</v>
      </c>
      <c r="O29" s="54">
        <f>8*D13</f>
        <v>872</v>
      </c>
      <c r="P29" s="54">
        <f>O29/50</f>
        <v>17.440000000000001</v>
      </c>
    </row>
    <row r="30" spans="1:24" ht="12.75" customHeight="1" x14ac:dyDescent="0.25">
      <c r="D30" s="43"/>
      <c r="E30" s="2"/>
      <c r="J30" s="43"/>
    </row>
    <row r="31" spans="1:24" ht="12.75" customHeight="1" x14ac:dyDescent="0.25">
      <c r="D31" s="43"/>
      <c r="E31" s="2"/>
      <c r="J31" s="43"/>
      <c r="N31" s="57" t="s">
        <v>184</v>
      </c>
      <c r="O31" s="57" t="s">
        <v>167</v>
      </c>
      <c r="P31" s="57" t="s">
        <v>168</v>
      </c>
    </row>
    <row r="32" spans="1:24" ht="12.75" customHeight="1" x14ac:dyDescent="0.25">
      <c r="D32" s="43"/>
      <c r="E32" s="2"/>
      <c r="J32" s="43"/>
      <c r="M32" s="22"/>
      <c r="N32" s="53" t="s">
        <v>174</v>
      </c>
      <c r="O32" s="52">
        <f>A4+D4+G4+J5+J7-24*(G17+G20+G23)</f>
        <v>532</v>
      </c>
      <c r="P32" s="52">
        <f>O32/25</f>
        <v>21.28</v>
      </c>
      <c r="R32" s="69" t="s">
        <v>183</v>
      </c>
      <c r="S32" s="69"/>
      <c r="T32" s="69"/>
      <c r="U32" s="69"/>
      <c r="V32" s="69"/>
      <c r="W32" s="69"/>
      <c r="X32" s="69"/>
    </row>
    <row r="33" spans="1:24" ht="18.600000000000001" customHeight="1" x14ac:dyDescent="0.25">
      <c r="D33" s="43"/>
      <c r="E33" s="2"/>
      <c r="G33" s="2"/>
      <c r="J33" s="43"/>
      <c r="M33" s="43"/>
      <c r="N33" s="52" t="s">
        <v>175</v>
      </c>
      <c r="O33" s="52">
        <f>A5+A8+A9+D5+D10+D11+G5+J6+J8+J10-24*(G18+G21+G24)-20*G19</f>
        <v>1839</v>
      </c>
      <c r="P33" s="52">
        <f t="shared" ref="P33:P36" si="10">O33/25</f>
        <v>73.56</v>
      </c>
      <c r="R33" s="69"/>
      <c r="S33" s="69"/>
      <c r="T33" s="69"/>
      <c r="U33" s="69"/>
      <c r="V33" s="69"/>
      <c r="W33" s="69"/>
      <c r="X33" s="69"/>
    </row>
    <row r="34" spans="1:24" ht="12.75" customHeight="1" x14ac:dyDescent="0.25">
      <c r="D34" s="43"/>
      <c r="E34" s="2"/>
      <c r="G34" s="2"/>
      <c r="J34" s="43"/>
      <c r="N34" s="52" t="s">
        <v>176</v>
      </c>
      <c r="O34" s="52">
        <f>D8+D9+J4</f>
        <v>228</v>
      </c>
      <c r="P34" s="52">
        <f t="shared" si="10"/>
        <v>9.1199999999999992</v>
      </c>
    </row>
    <row r="35" spans="1:24" ht="12.75" customHeight="1" x14ac:dyDescent="0.25">
      <c r="D35" s="43"/>
      <c r="E35" s="2"/>
      <c r="F35" s="1"/>
      <c r="G35" s="2"/>
      <c r="J35" s="43"/>
      <c r="N35" s="52" t="s">
        <v>177</v>
      </c>
      <c r="O35" s="52">
        <f>A6+J11</f>
        <v>258</v>
      </c>
      <c r="P35" s="52">
        <f t="shared" si="10"/>
        <v>10.32</v>
      </c>
    </row>
    <row r="36" spans="1:24" ht="12.75" customHeight="1" x14ac:dyDescent="0.25">
      <c r="A36" s="24"/>
      <c r="D36" s="43"/>
      <c r="E36" s="2"/>
      <c r="N36" s="52" t="s">
        <v>182</v>
      </c>
      <c r="O36" s="52">
        <f>A7+G6+D7+D6+J9</f>
        <v>160</v>
      </c>
      <c r="P36" s="52">
        <f t="shared" si="10"/>
        <v>6.4</v>
      </c>
    </row>
    <row r="37" spans="1:24" ht="12.75" customHeight="1" x14ac:dyDescent="0.25">
      <c r="B37" s="2"/>
      <c r="C37" s="23"/>
      <c r="D37" s="43"/>
      <c r="E37" s="2"/>
      <c r="G37" s="18"/>
      <c r="J37" s="2"/>
      <c r="N37" s="52" t="s">
        <v>178</v>
      </c>
      <c r="O37" s="52">
        <f>D12+D13</f>
        <v>112</v>
      </c>
      <c r="P37" s="52">
        <f>O37/20</f>
        <v>5.6</v>
      </c>
    </row>
    <row r="38" spans="1:24" ht="12.75" customHeight="1" x14ac:dyDescent="0.25">
      <c r="A38" s="11"/>
      <c r="B38" s="2"/>
      <c r="D38" s="43"/>
      <c r="E38" s="2"/>
      <c r="N38" s="52" t="s">
        <v>181</v>
      </c>
      <c r="O38" s="52">
        <f>G7-13*G22</f>
        <v>41</v>
      </c>
      <c r="P38" s="52">
        <f>O38/20</f>
        <v>2.0499999999999998</v>
      </c>
    </row>
    <row r="39" spans="1:24" ht="12.75" customHeight="1" x14ac:dyDescent="0.25">
      <c r="A39" s="22"/>
      <c r="B39" s="22"/>
      <c r="D39" s="43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2024-05-09T14:30:03Z</cp:lastPrinted>
  <dcterms:created xsi:type="dcterms:W3CDTF">2014-06-06T13:58:10Z</dcterms:created>
  <dcterms:modified xsi:type="dcterms:W3CDTF">2024-05-10T11:48:03Z</dcterms:modified>
</cp:coreProperties>
</file>