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C003FCC1-E5B2-4DF4-9FD2-B30EAF2862D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K66" i="9" s="1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64" i="9"/>
  <c r="K63" i="9"/>
  <c r="K62" i="9"/>
  <c r="K94" i="8"/>
  <c r="K87" i="8"/>
  <c r="K92" i="8"/>
  <c r="K91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O38" i="12"/>
  <c r="O34" i="12"/>
  <c r="O14" i="12"/>
  <c r="P14" i="12" s="1"/>
  <c r="O15" i="12"/>
  <c r="P15" i="12" s="1"/>
  <c r="O36" i="12"/>
  <c r="O33" i="12"/>
  <c r="O32" i="12"/>
  <c r="W3" i="12"/>
  <c r="W4" i="12" s="1"/>
  <c r="O24" i="12"/>
  <c r="P24" i="12" s="1"/>
  <c r="O37" i="12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<sst xmlns="http://schemas.openxmlformats.org/spreadsheetml/2006/main" count="1136" uniqueCount="193">
  <si>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</si>
  <si>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</si>
  <si>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</si>
  <si>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</si>
  <si>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</si>
  <si>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</si>
  <si>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</si>
  <si>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</si>
  <si>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</si>
  <si>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</si>
  <si>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</si>
  <si>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</si>
  <si>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</si>
  <si>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</si>
  <si>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</si>
  <si>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</si>
  <si>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</si>
  <si>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</si>
  <si>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</si>
  <si>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</si>
  <si>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</si>
  <si>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</si>
  <si>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</si>
  <si>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</si>
  <si>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</si>
  <si>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</si>
  <si>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</si>
  <si>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</si>
  <si>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</si>
  <si>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</si>
  <si>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</si>
  <si>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</si>
  <si>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</si>
  <si>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</si>
  <si>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</si>
  <si>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</si>
  <si>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</si>
  <si>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</si>
  <si>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</si>
  <si>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</si>
  <si>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</si>
  <si>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</si>
  <si>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</si>
  <si>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</si>
  <si>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</si>
  <si>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</si>
  <si>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</si>
  <si>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</si>
  <si>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</si>
  <si>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</si>
  <si>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</si>
  <si>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</si>
  <si>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</si>
  <si>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</si>
  <si>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</si>
  <si>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</si>
  <si>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</si>
  <si>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</si>
  <si>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</si>
  <si>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</si>
  <si>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</si>
  <si>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</si>
  <si>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</si>
  <si>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</si>
  <si>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</si>
  <si>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</si>
  <si>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</si>
  <si>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</si>
  <si>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</si>
  <si>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</si>
  <si>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</si>
  <si>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</si>
  <si>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</si>
  <si>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</si>
  <si>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</si>
  <si>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</si>
  <si>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</si>
  <si>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</si>
  <si>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</si>
  <si>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</si>
  <si>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</si>
  <si>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</si>
  <si>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</si>
  <si>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</si>
  <si>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</si>
  <si>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</si>
  <si>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</si>
  <si>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</si>
  <si>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</si>
  <si>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</si>
  <si>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</si>
  <si>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</si>
  <si>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</si>
  <si>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</si>
  <si>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</si>
  <si>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</si>
  <si>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</si>
  <si>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</si>
  <si>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</si>
  <si>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</si>
  <si>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</si>
  <si>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</si>
  <si>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</si>
  <si>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</si>
  <si>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</si>
  <si>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</si>
  <si>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</si>
  <si>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</si>
  <si>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</si>
  <si>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</si>
  <si>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</si>
  <si>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</si>
  <si>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</si>
  <si>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</si>
  <si>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</si>
  <si>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</si>
  <si>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</si>
  <si>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</si>
  <si>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</si>
  <si>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</si>
  <si>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</si>
  <si>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</si>
  <si>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</si>
  <si>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</si>
  <si>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</si>
  <si>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</si>
  <si>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</si>
  <si>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</si>
  <si>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</si>
  <si>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</si>
  <si>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</si>
  <si>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</si>
  <si>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</si>
  <si>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</si>
  <si>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</si>
  <si>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</si>
  <si>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</si>
  <si>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</si>
  <si>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</si>
  <si>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</si>
  <si>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</si>
  <si>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</si>
  <si>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</si>
  <si>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</si>
  <si>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</si>
  <si>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</si>
  <si>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</si>
  <si>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</si>
  <si>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</si>
  <si>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</si>
  <si>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</si>
  <si>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</si>
  <si>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</si>
  <si>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</si>
  <si>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</si>
  <si>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</si>
  <si>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</si>
  <si>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</si>
  <si>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</si>
  <si>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</si>
  <si>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</si>
  <si>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</si>
  <si>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</si>
  <si>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</si>
  <si>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</si>
  <si>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</si>
  <si>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</si>
  <si>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</si>
  <si>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</si>
  <si>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</si>
  <si>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</si>
  <si>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</si>
  <si>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</si>
  <si>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</si>
  <si>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</si>
  <si>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</si>
  <si>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</si>
  <si>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</si>
  <si>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</si>
  <si>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</si>
  <si>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</si>
  <si>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</si>
  <si>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</si>
  <si>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</si>
  <si>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</si>
  <si>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</si>
  <si>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</si>
  <si>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</si>
  <si>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</si>
  <si>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</si>
  <si>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</si>
  <si>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</si>
  <si>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4872304735/4872279628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</si>
</sst>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45628</v>
      </c>
      <c r="E1" s="96"/>
      <c r="F1" s="96"/>
      <c r="H1" s="63" t="s">
        <v>144</v>
      </c>
      <c r="I1" s="64">
        <f>D1+42-1</f>
        <v>45669</v>
      </c>
      <c r="L1" s="19" t="s">
        <v>38</v>
      </c>
    </row>
    <row r="2" spans="1:12" ht="15.75" x14ac:dyDescent="0.25">
      <c r="B2" s="41" t="s">
        <v>106</v>
      </c>
      <c r="C2" s="50">
        <v>49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8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7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5</v>
      </c>
      <c r="C11" s="2" t="s">
        <v>7</v>
      </c>
      <c r="E11" s="39">
        <f>SUM(E5:E10)</f>
        <v>29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7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4872252744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9204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41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45628</v>
      </c>
      <c r="E34" s="96"/>
      <c r="F34" s="96"/>
      <c r="H34" s="63" t="s">
        <v>144</v>
      </c>
      <c r="I34" s="67">
        <f>I1</f>
        <v>45669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3</v>
      </c>
      <c r="C37" s="2" t="s">
        <v>41</v>
      </c>
      <c r="E37" s="39">
        <v>3</v>
      </c>
      <c r="F37" s="2" t="s">
        <v>19</v>
      </c>
      <c r="H37" s="39">
        <v>8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12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10</v>
      </c>
      <c r="F42" s="2" t="s">
        <v>22</v>
      </c>
      <c r="H42" s="39">
        <v>21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22</v>
      </c>
      <c r="F46" s="16" t="s">
        <v>28</v>
      </c>
      <c r="H46" s="39">
        <v>32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75</v>
      </c>
      <c r="I47" s="2" t="s">
        <v>35</v>
      </c>
    </row>
    <row r="48" spans="1:12" x14ac:dyDescent="0.25">
      <c r="B48" s="39">
        <v>2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153</v>
      </c>
      <c r="E49" s="2" t="s">
        <v>36</v>
      </c>
      <c r="F49" s="16">
        <v>8972</v>
      </c>
      <c r="H49" s="2" t="s">
        <v>36</v>
      </c>
      <c r="I49" s="16">
        <v>9091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1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47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12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8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19</v>
      </c>
      <c r="I56" s="2" t="s">
        <v>104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16</v>
      </c>
      <c r="I58" s="16" t="s">
        <v>34</v>
      </c>
      <c r="K58" s="17" t="s">
        <v>161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52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4872226469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4</v>
      </c>
      <c r="C70" s="2" t="s">
        <v>41</v>
      </c>
      <c r="D70" s="35">
        <f>E70*15</f>
        <v>210</v>
      </c>
      <c r="E70" s="15">
        <f t="shared" ref="E70:E79" si="0">H5+E37+H37</f>
        <v>14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465</v>
      </c>
      <c r="E71" s="14">
        <f t="shared" si="0"/>
        <v>31</v>
      </c>
      <c r="F71" s="2" t="s">
        <v>20</v>
      </c>
      <c r="H71" s="14">
        <f>E6+E16+E59+H54+E53</f>
        <v>96</v>
      </c>
      <c r="I71" s="2" t="s">
        <v>46</v>
      </c>
      <c r="K71" s="13">
        <f>B11+E10+B31+B43+H58</f>
        <v>39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7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29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360</v>
      </c>
      <c r="E75" s="14">
        <f t="shared" si="0"/>
        <v>36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496</v>
      </c>
      <c r="E79" s="14">
        <f t="shared" si="0"/>
        <v>62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2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70</v>
      </c>
      <c r="H87" s="29">
        <f>K72</f>
        <v>7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1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232</v>
      </c>
      <c r="H91" s="21">
        <f>H73</f>
        <v>29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45629</v>
      </c>
      <c r="E1" s="95"/>
      <c r="F1" s="95"/>
      <c r="H1" s="63" t="s">
        <v>144</v>
      </c>
      <c r="I1" s="64">
        <f>Mon!D1+42-1</f>
        <v>45669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3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6</v>
      </c>
      <c r="L5" s="2" t="s">
        <v>42</v>
      </c>
    </row>
    <row r="6" spans="1:12" ht="12.4" customHeight="1" x14ac:dyDescent="0.25">
      <c r="B6" s="39">
        <v>4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3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2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4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3</v>
      </c>
      <c r="L20" s="75" t="s">
        <v>44</v>
      </c>
    </row>
    <row r="21" spans="1:18" ht="12.4" customHeight="1" x14ac:dyDescent="0.25">
      <c r="B21" s="39">
        <f>SUM(B4:B20)</f>
        <v>48</v>
      </c>
      <c r="C21" s="2" t="s">
        <v>35</v>
      </c>
      <c r="E21" s="39">
        <f>SUM(E4:E20)</f>
        <v>35</v>
      </c>
      <c r="F21" s="2" t="s">
        <v>35</v>
      </c>
      <c r="H21" s="39">
        <f>SUM(H4:H20)</f>
        <v>44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22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21</v>
      </c>
      <c r="C30" s="2" t="s">
        <v>35</v>
      </c>
      <c r="E30" s="39">
        <f>SUM(E24:E29)</f>
        <v>23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40</v>
      </c>
      <c r="L31" s="89" t="s">
        <v>44</v>
      </c>
    </row>
    <row r="32" spans="1:18" ht="12.4" customHeight="1" x14ac:dyDescent="0.25">
      <c r="B32" s="2" t="s">
        <v>36</v>
      </c>
      <c r="C32" s="16">
        <v>4872304847</v>
      </c>
      <c r="E32" s="2" t="s">
        <v>36</v>
      </c>
      <c r="F32" s="16" t="s">
        <v>192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29</v>
      </c>
      <c r="L43" s="2" t="s">
        <v>9</v>
      </c>
    </row>
    <row r="44" spans="2:12" x14ac:dyDescent="0.25">
      <c r="B44" s="26">
        <f>B5+H5+K5+E5</f>
        <v>14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24</v>
      </c>
      <c r="L44" s="2" t="s">
        <v>7</v>
      </c>
    </row>
    <row r="45" spans="2:12" x14ac:dyDescent="0.25">
      <c r="B45" s="26">
        <f>B6+H6+K6+E6</f>
        <v>4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22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76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55</v>
      </c>
      <c r="L47" s="2" t="s">
        <v>44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60</v>
      </c>
      <c r="H58" s="26">
        <f>B45</f>
        <v>4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380</v>
      </c>
      <c r="H63" s="21">
        <f>B47</f>
        <v>76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176</v>
      </c>
      <c r="H64" s="21">
        <f>H46</f>
        <v>22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J37" sqref="J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45630</v>
      </c>
      <c r="E1" s="95"/>
      <c r="F1" s="95"/>
      <c r="H1" s="63" t="s">
        <v>144</v>
      </c>
      <c r="I1" s="64">
        <f>Mon!D1+49-1</f>
        <v>45676</v>
      </c>
      <c r="K1" s="17" t="s">
        <v>95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3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6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5</v>
      </c>
      <c r="L7" s="2" t="s">
        <v>51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16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37</v>
      </c>
      <c r="F9" s="22" t="s">
        <v>35</v>
      </c>
      <c r="K9" s="39">
        <v>7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39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154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32</v>
      </c>
      <c r="F18" s="22" t="s">
        <v>35</v>
      </c>
      <c r="H18" s="39">
        <f>SUM(H12:H17)</f>
        <v>38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2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3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16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3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19</v>
      </c>
      <c r="L42" s="2" t="s">
        <v>9</v>
      </c>
    </row>
    <row r="43" spans="2:12" x14ac:dyDescent="0.25">
      <c r="B43" s="91">
        <f>E5+E13+H5+H13+K3+K16+K16</f>
        <v>51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38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43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7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215</v>
      </c>
      <c r="H62" s="21">
        <f>B46</f>
        <v>43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28" zoomScale="70" zoomScaleNormal="100" zoomScalePageLayoutView="70" workbookViewId="0">
      <selection activeCell="J55" sqref="J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45631</v>
      </c>
      <c r="E1" s="95"/>
      <c r="F1" s="95"/>
      <c r="G1" s="1"/>
      <c r="H1" s="63" t="s">
        <v>144</v>
      </c>
      <c r="I1" s="64">
        <f>Mon!D1+49-1</f>
        <v>45676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9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35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23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4872347492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2</v>
      </c>
      <c r="C15" s="2" t="s">
        <v>16</v>
      </c>
      <c r="G15" s="3"/>
      <c r="H15" s="39">
        <v>36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831</v>
      </c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36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9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45631</v>
      </c>
      <c r="E35" s="95"/>
      <c r="F35" s="95"/>
      <c r="H35" s="63" t="s">
        <v>144</v>
      </c>
      <c r="I35" s="64">
        <f>I1</f>
        <v>45676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5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1</v>
      </c>
      <c r="E39" s="39">
        <v>26</v>
      </c>
      <c r="F39" s="2" t="s">
        <v>31</v>
      </c>
      <c r="H39" s="39">
        <v>29</v>
      </c>
      <c r="I39" s="2" t="s">
        <v>20</v>
      </c>
      <c r="K39" s="39">
        <v>35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37</v>
      </c>
      <c r="F41" s="2" t="s">
        <v>104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0</v>
      </c>
      <c r="E43" s="39">
        <v>19</v>
      </c>
      <c r="F43" s="16" t="s">
        <v>7</v>
      </c>
      <c r="H43" s="39">
        <v>22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0</v>
      </c>
      <c r="B44" s="39">
        <v>6</v>
      </c>
      <c r="C44" s="2" t="s">
        <v>7</v>
      </c>
      <c r="E44" s="39">
        <f>SUM(E38:E43)</f>
        <v>90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4872344078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23</v>
      </c>
      <c r="I47" s="16" t="s">
        <v>28</v>
      </c>
      <c r="K47" s="39">
        <v>48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80</v>
      </c>
      <c r="I48" s="2" t="s">
        <v>35</v>
      </c>
      <c r="K48" s="39">
        <f>SUM(K38:K47)</f>
        <v>120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452</v>
      </c>
      <c r="K50" s="2" t="s">
        <v>36</v>
      </c>
      <c r="L50" s="16">
        <v>455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6</v>
      </c>
      <c r="L54" t="s">
        <v>51</v>
      </c>
    </row>
    <row r="55" spans="2:12" x14ac:dyDescent="0.25">
      <c r="B55" s="39">
        <f>SUM(B38:B54)</f>
        <v>48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3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24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255</v>
      </c>
      <c r="E72" s="36">
        <f t="shared" ref="E72:E81" si="0">K4+H38+K38</f>
        <v>17</v>
      </c>
      <c r="F72" s="2" t="s">
        <v>19</v>
      </c>
      <c r="H72" s="13">
        <f>H4+E38</f>
        <v>2</v>
      </c>
      <c r="I72" s="2" t="s">
        <v>45</v>
      </c>
      <c r="K72" s="47">
        <f>B9+E8+H8+B43+E42</f>
        <v>29</v>
      </c>
      <c r="L72" s="2" t="s">
        <v>9</v>
      </c>
    </row>
    <row r="73" spans="2:12" x14ac:dyDescent="0.25">
      <c r="B73" s="26">
        <f>B5+E5+B39</f>
        <v>38</v>
      </c>
      <c r="C73" s="2" t="s">
        <v>42</v>
      </c>
      <c r="D73" s="35">
        <f t="shared" ref="D73:D79" si="1">E73*15</f>
        <v>1080</v>
      </c>
      <c r="E73" s="37">
        <f t="shared" si="0"/>
        <v>72</v>
      </c>
      <c r="F73" s="2" t="s">
        <v>20</v>
      </c>
      <c r="H73" s="47">
        <f>H5+H15+E50+E39+E57</f>
        <v>138</v>
      </c>
      <c r="I73" s="2" t="s">
        <v>46</v>
      </c>
      <c r="K73" s="47">
        <f>B10+E9+H9+B44+E43</f>
        <v>71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46</v>
      </c>
      <c r="I75" s="2" t="s">
        <v>103</v>
      </c>
      <c r="K75" s="47">
        <f>B28+K54</f>
        <v>15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570</v>
      </c>
      <c r="E77" s="37">
        <f t="shared" si="0"/>
        <v>57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600</v>
      </c>
      <c r="E81" s="37">
        <f t="shared" si="0"/>
        <v>75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3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2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368</v>
      </c>
      <c r="H93" s="21">
        <f>H75</f>
        <v>46</v>
      </c>
      <c r="I93" s="2" t="s">
        <v>104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K41" sqref="K40:K4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45632</v>
      </c>
      <c r="E1" s="95"/>
      <c r="F1" s="95"/>
      <c r="H1" s="63" t="s">
        <v>144</v>
      </c>
      <c r="I1" s="64">
        <f>Mon!D1+49-1</f>
        <v>45676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3</v>
      </c>
      <c r="F9" s="2" t="s">
        <v>9</v>
      </c>
      <c r="H9" s="39">
        <v>8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2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12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74</v>
      </c>
      <c r="C21" s="22" t="s">
        <v>35</v>
      </c>
      <c r="E21" s="39">
        <f>SUM(E4:E20)</f>
        <v>30</v>
      </c>
      <c r="F21" s="22" t="s">
        <v>35</v>
      </c>
      <c r="H21" s="39">
        <f>SUM(H4:H20)</f>
        <v>49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0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0</v>
      </c>
      <c r="C28" s="2" t="s">
        <v>47</v>
      </c>
      <c r="E28" s="39">
        <v>4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27</v>
      </c>
      <c r="C30" s="22" t="s">
        <v>35</v>
      </c>
      <c r="E30" s="39">
        <f>SUM(E24:E29)</f>
        <v>31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43</v>
      </c>
      <c r="L31" s="87" t="s">
        <v>44</v>
      </c>
    </row>
    <row r="32" spans="1:15" ht="12.75" customHeight="1" x14ac:dyDescent="0.25">
      <c r="B32" s="2" t="s">
        <v>36</v>
      </c>
      <c r="C32" s="16">
        <v>4872368869</v>
      </c>
      <c r="E32" s="2" t="s">
        <v>36</v>
      </c>
      <c r="F32" s="13">
        <v>4872369877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2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12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8</v>
      </c>
      <c r="F39" s="16" t="s">
        <v>50</v>
      </c>
    </row>
    <row r="40" spans="2:15" ht="12.6" customHeight="1" x14ac:dyDescent="0.25">
      <c r="E40" s="11">
        <f>SUM(E38:E39)</f>
        <v>16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52</v>
      </c>
      <c r="L44" s="2" t="s">
        <v>9</v>
      </c>
    </row>
    <row r="45" spans="2:15" x14ac:dyDescent="0.25">
      <c r="B45" s="26">
        <f>B5+E5+K5+H5+N5</f>
        <v>18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46</v>
      </c>
      <c r="K45" s="47">
        <f>B37+B10+B28+E10+K10+H10+N10+E28</f>
        <v>28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12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104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45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2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520</v>
      </c>
      <c r="H64" s="21">
        <f>B48</f>
        <v>104</v>
      </c>
      <c r="I64" s="2" t="s">
        <v>50</v>
      </c>
      <c r="K64" s="14">
        <f>A27+D27</f>
        <v>0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96</v>
      </c>
      <c r="H65" s="21">
        <f>H47</f>
        <v>12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G17" sqref="G17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50</v>
      </c>
      <c r="D1" s="46"/>
      <c r="E1" s="46"/>
      <c r="F1" s="63" t="s">
        <v>144</v>
      </c>
      <c r="G1" s="64">
        <f>Mon!D1+49-1</f>
        <v>45676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14</v>
      </c>
      <c r="B6" s="39">
        <v>672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5</v>
      </c>
      <c r="J9" s="39">
        <v>240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13</v>
      </c>
      <c r="J12" s="44">
        <f>SUM(J5:J11)</f>
        <v>624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288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960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G30" sqref="G30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49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2328</v>
      </c>
      <c r="P3" s="53">
        <f>O3/125</f>
        <v>18.623999999999999</v>
      </c>
      <c r="R3" s="51" t="s">
        <v>118</v>
      </c>
      <c r="S3" s="55">
        <f>12*(D8+J4)</f>
        <v>2328</v>
      </c>
      <c r="T3" s="55">
        <f>15*(A4+D4+G4+J7+J5)+20*D12</f>
        <v>10305</v>
      </c>
      <c r="U3" s="55">
        <f>15*(A5+A9+D5+D9+D10+D11+G5+J6+J8+J10)+20*(A8+D13+G7)</f>
        <v>40750</v>
      </c>
      <c r="V3" s="55">
        <f>15*(A6+J11)</f>
        <v>2445</v>
      </c>
      <c r="W3" s="55">
        <f>15*D6</f>
        <v>0</v>
      </c>
      <c r="X3" s="55">
        <f>15*(A7+D7+G6+J9)</f>
        <v>2340</v>
      </c>
    </row>
    <row r="4" spans="1:24" ht="12.75" customHeight="1" x14ac:dyDescent="0.25">
      <c r="A4" s="31">
        <f>Mon!B70+Tues!B43+Wed!B42+Thurs!B72+Fri!B44+NFLD!A43</f>
        <v>26</v>
      </c>
      <c r="B4" s="2" t="s">
        <v>41</v>
      </c>
      <c r="C4" s="7"/>
      <c r="D4" s="31">
        <f>Mon!E70+Tues!E43+Wed!E42+Thurs!E72+Fri!E44+NFLD!D43</f>
        <v>31</v>
      </c>
      <c r="E4" s="2" t="s">
        <v>19</v>
      </c>
      <c r="F4" s="7"/>
      <c r="G4" s="31">
        <f>Mon!H70+Tues!H43+Wed!H42+Thurs!H72+Fri!H44+NFLD!G43</f>
        <v>10</v>
      </c>
      <c r="H4" s="2" t="s">
        <v>45</v>
      </c>
      <c r="I4" s="7"/>
      <c r="J4" s="31">
        <f>Mon!K70+Tues!K43+Wed!K42+Thurs!K72+Fri!K44+NFLD!J43</f>
        <v>194</v>
      </c>
      <c r="K4" s="2" t="s">
        <v>9</v>
      </c>
      <c r="M4" s="42"/>
      <c r="N4" s="52" t="s">
        <v>7</v>
      </c>
      <c r="O4" s="53">
        <f>J5*10</f>
        <v>4880</v>
      </c>
      <c r="P4" s="53">
        <f>O4/130</f>
        <v>37.53846153846154</v>
      </c>
      <c r="R4" s="51" t="s">
        <v>119</v>
      </c>
      <c r="S4" s="55">
        <f t="shared" ref="S4:X4" si="0">S3/15</f>
        <v>155.19999999999999</v>
      </c>
      <c r="T4" s="55">
        <f t="shared" si="0"/>
        <v>687</v>
      </c>
      <c r="U4" s="55">
        <f t="shared" si="0"/>
        <v>2716.6666666666665</v>
      </c>
      <c r="V4" s="55">
        <f t="shared" si="0"/>
        <v>163</v>
      </c>
      <c r="W4" s="55">
        <f t="shared" si="0"/>
        <v>0</v>
      </c>
      <c r="X4" s="55">
        <f t="shared" si="0"/>
        <v>156</v>
      </c>
    </row>
    <row r="5" spans="1:24" ht="12.75" customHeight="1" x14ac:dyDescent="0.25">
      <c r="A5" s="26">
        <f>Mon!B71+Tues!B44+Wed!B43+Thurs!B73+Fri!B45+NFLD!A44</f>
        <v>125</v>
      </c>
      <c r="B5" s="2" t="s">
        <v>42</v>
      </c>
      <c r="C5" s="24"/>
      <c r="D5" s="26">
        <f>Mon!E71+Tues!E44+Wed!E43+Thurs!E73+Fri!E45+NFLD!D44</f>
        <v>103</v>
      </c>
      <c r="E5" s="2" t="s">
        <v>20</v>
      </c>
      <c r="G5" s="26">
        <f>Mon!H71+Tues!H44+Wed!H43+Thurs!H73+Fri!H45+NFLD!G44</f>
        <v>256</v>
      </c>
      <c r="H5" s="2" t="s">
        <v>46</v>
      </c>
      <c r="J5" s="26">
        <f>Mon!K71+Tues!K44+Wed!K43+Thurs!K73+Fri!K45+NFLD!J44</f>
        <v>488</v>
      </c>
      <c r="K5" s="2" t="s">
        <v>7</v>
      </c>
      <c r="M5" s="42"/>
      <c r="N5" s="52" t="s">
        <v>8</v>
      </c>
      <c r="O5" s="53">
        <f>J6*10</f>
        <v>170</v>
      </c>
      <c r="P5" s="53">
        <f t="shared" ref="P5:P25" si="1">O5/130</f>
        <v>1.3076923076923077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17</v>
      </c>
      <c r="K6" s="2" t="s">
        <v>8</v>
      </c>
      <c r="M6" s="42"/>
      <c r="N6" s="52" t="s">
        <v>51</v>
      </c>
      <c r="O6" s="53">
        <f>J7*15</f>
        <v>1980</v>
      </c>
      <c r="P6" s="53">
        <f>O6/150</f>
        <v>13.2</v>
      </c>
    </row>
    <row r="7" spans="1:24" ht="12.75" customHeight="1" x14ac:dyDescent="0.25">
      <c r="A7" s="26">
        <f>Mon!B73+Tues!B46+Wed!B45+Thurs!B75+Fri!B47+NFLD!A46</f>
        <v>26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109</v>
      </c>
      <c r="H7" s="2" t="s">
        <v>103</v>
      </c>
      <c r="J7" s="26">
        <f>Mon!K73+Tues!K46+Wed!K45+Thurs!K75+Fri!K47+NFLD!J46</f>
        <v>132</v>
      </c>
      <c r="K7" s="2" t="s">
        <v>51</v>
      </c>
      <c r="M7" s="42"/>
      <c r="N7" s="52" t="s">
        <v>44</v>
      </c>
      <c r="O7" s="53">
        <f t="shared" ref="O7" si="2">J8*15</f>
        <v>16320</v>
      </c>
      <c r="P7" s="53">
        <f t="shared" ref="P7:P8" si="3">O7/150</f>
        <v>108.8</v>
      </c>
      <c r="R7" s="12" t="s">
        <v>106</v>
      </c>
      <c r="S7" s="60">
        <f>Mon!C2</f>
        <v>49</v>
      </c>
    </row>
    <row r="8" spans="1:24" ht="12.75" customHeight="1" x14ac:dyDescent="0.25">
      <c r="A8" s="26">
        <f>Mon!B74+Tues!B47+Wed!B46+Thurs!B76+Fri!B48+NFLD!A47</f>
        <v>323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1088</v>
      </c>
      <c r="K8" s="2" t="s">
        <v>44</v>
      </c>
      <c r="M8" s="42"/>
      <c r="N8" s="52" t="s">
        <v>2</v>
      </c>
      <c r="O8" s="53">
        <f>J9*15</f>
        <v>1710</v>
      </c>
      <c r="P8" s="53">
        <f t="shared" si="3"/>
        <v>11.4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4</v>
      </c>
      <c r="B9" s="2" t="s">
        <v>15</v>
      </c>
      <c r="C9" s="24"/>
      <c r="D9" s="26">
        <f>Mon!E75+Tues!E48+Wed!E47+Thurs!E77+Fri!E49+NFLD!D48</f>
        <v>93</v>
      </c>
      <c r="E9" s="2" t="s">
        <v>22</v>
      </c>
      <c r="J9" s="26">
        <f>Mon!K75+Tues!K48+Wed!K47+Thurs!K77+Fri!K49+NFLD!J48</f>
        <v>114</v>
      </c>
      <c r="K9" s="2" t="s">
        <v>2</v>
      </c>
      <c r="M9" s="42"/>
      <c r="N9" s="52" t="s">
        <v>122</v>
      </c>
      <c r="O9" s="53">
        <f>7*(J10+J11)+8*(D12+D13+G7)+5*A9</f>
        <v>4970</v>
      </c>
      <c r="P9" s="53">
        <f>O9/140</f>
        <v>35.5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272</v>
      </c>
      <c r="K10" s="2" t="s">
        <v>1</v>
      </c>
      <c r="M10" s="42"/>
      <c r="N10" s="52" t="s">
        <v>41</v>
      </c>
      <c r="O10" s="53">
        <f>A4*15</f>
        <v>390</v>
      </c>
      <c r="P10" s="53">
        <f>O10/250</f>
        <v>1.56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154</v>
      </c>
      <c r="K11" s="2" t="s">
        <v>0</v>
      </c>
      <c r="M11" s="42"/>
      <c r="N11" s="52" t="s">
        <v>42</v>
      </c>
      <c r="O11" s="53">
        <f t="shared" ref="O11:O12" si="4">A5*15</f>
        <v>1875</v>
      </c>
      <c r="P11" s="53">
        <f t="shared" ref="P11:P13" si="5">O11/250</f>
        <v>7.5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137</v>
      </c>
      <c r="E13" s="2" t="s">
        <v>28</v>
      </c>
      <c r="M13" s="42"/>
      <c r="N13" s="52" t="s">
        <v>5</v>
      </c>
      <c r="O13" s="53">
        <f>A7*15</f>
        <v>390</v>
      </c>
      <c r="P13" s="53">
        <f t="shared" si="5"/>
        <v>1.56</v>
      </c>
      <c r="S13" s="59"/>
    </row>
    <row r="14" spans="1:24" ht="12.75" customHeight="1" x14ac:dyDescent="0.25">
      <c r="A14" s="7"/>
      <c r="N14" s="52" t="s">
        <v>127</v>
      </c>
      <c r="O14" s="53">
        <f>5*A9</f>
        <v>20</v>
      </c>
      <c r="P14" s="53">
        <f>O14/50</f>
        <v>0.4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60</v>
      </c>
      <c r="P15" s="53">
        <f>O15/250</f>
        <v>0.24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3840</v>
      </c>
      <c r="P17" s="53">
        <f t="shared" si="6"/>
        <v>15.36</v>
      </c>
    </row>
    <row r="18" spans="1:24" ht="12.75" customHeight="1" x14ac:dyDescent="0.25">
      <c r="A18" s="26">
        <f>Mon!B86+Tues!B59+Wed!B58+Thurs!B88+Fri!B60+NFLD!A59</f>
        <v>6</v>
      </c>
      <c r="B18" s="2" t="s">
        <v>16</v>
      </c>
      <c r="D18" s="21">
        <f>A9</f>
        <v>4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17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128</v>
      </c>
      <c r="O19" s="53">
        <f>8*G7</f>
        <v>872</v>
      </c>
      <c r="P19" s="53">
        <f>O19/50</f>
        <v>17.440000000000001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26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465</v>
      </c>
      <c r="P20" s="53">
        <f>O20/150</f>
        <v>3.1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1545</v>
      </c>
      <c r="P21" s="53">
        <f t="shared" ref="P21:P23" si="9">O21/150</f>
        <v>10.3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323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109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930</v>
      </c>
      <c r="P25" s="53">
        <f t="shared" si="1"/>
        <v>7.1538461538461542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1096</v>
      </c>
      <c r="P29" s="53">
        <f>O29/50</f>
        <v>21.92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639</v>
      </c>
      <c r="P32" s="51">
        <v>18.623999999999999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1900</v>
      </c>
      <c r="P33" s="51">
        <v>37.53846153846154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287</v>
      </c>
      <c r="P34" s="51">
        <v>1.3076923076923077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163</v>
      </c>
      <c r="P35" s="51">
        <v>13.2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156</v>
      </c>
      <c r="P36" s="51">
        <v>108.8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137</v>
      </c>
      <c r="P37" s="51">
        <v>11.4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57</v>
      </c>
      <c r="P38" s="51">
        <v>35.5</v>
      </c>
    </row>
    <row r="39" spans="1:24" ht="12.75" customHeight="1" x14ac:dyDescent="0.25">
      <c r="A39" s="22"/>
      <c r="B39" s="22"/>
      <c r="D39" s="42"/>
      <c r="E39" s="22"/>
      <c r="P39">
        <v>1.56</v>
      </c>
    </row>
    <row r="40" spans="1:24" ht="21" x14ac:dyDescent="0.35">
      <c r="A40" s="19"/>
      <c r="P40">
        <v>7.5</v>
      </c>
    </row>
    <row r="41" spans="1:24" x14ac:dyDescent="0.25">
      <c r="P41">
        <v>0.54</v>
      </c>
    </row>
    <row r="42" spans="1:24" x14ac:dyDescent="0.25">
      <c r="P42">
        <v>1.56</v>
      </c>
    </row>
    <row r="43" spans="1:24" x14ac:dyDescent="0.25">
      <c r="P43">
        <v>0.4</v>
      </c>
    </row>
    <row r="44" spans="1:24" x14ac:dyDescent="0.25">
      <c r="P44">
        <v>0.24</v>
      </c>
    </row>
    <row r="45" spans="1:24" x14ac:dyDescent="0.25">
      <c r="P45">
        <v>0.6</v>
      </c>
    </row>
    <row r="46" spans="1:24" x14ac:dyDescent="0.25">
      <c r="P46">
        <v>15.36</v>
      </c>
    </row>
    <row r="47" spans="1:24" x14ac:dyDescent="0.25">
      <c r="P47">
        <v>0.54</v>
      </c>
    </row>
    <row r="48" spans="1:24" x14ac:dyDescent="0.25">
      <c r="P48">
        <v>17.440000000000001</v>
      </c>
    </row>
    <row r="49" spans="16:16" x14ac:dyDescent="0.25">
      <c r="P49">
        <v>3.1</v>
      </c>
    </row>
    <row r="50" spans="16:16" x14ac:dyDescent="0.25">
      <c r="P50">
        <v>10.3</v>
      </c>
    </row>
    <row r="51" spans="16:16" x14ac:dyDescent="0.25">
      <c r="P51">
        <v>0</v>
      </c>
    </row>
    <row r="52" spans="16:16" x14ac:dyDescent="0.25">
      <c r="P52">
        <v>0.7</v>
      </c>
    </row>
    <row r="53" spans="16:16" x14ac:dyDescent="0.25">
      <c r="P53">
        <v>0</v>
      </c>
    </row>
    <row r="54" spans="16:16" x14ac:dyDescent="0.25">
      <c r="P54">
        <v>7.1538461538461542</v>
      </c>
    </row>
    <row r="55" spans="16:16" x14ac:dyDescent="0.25">
      <c r="P55">
        <v>0</v>
      </c>
    </row>
    <row r="56" spans="16:16" x14ac:dyDescent="0.25">
      <c r="P56">
        <v>0</v>
      </c>
    </row>
    <row r="57" spans="16:16" x14ac:dyDescent="0.25">
      <c r="P57">
        <v>0</v>
      </c>
    </row>
    <row r="58" spans="16:16" x14ac:dyDescent="0.25">
      <c r="P58">
        <v>21.92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2024-12-05T18:52:04Z</cp:lastPrinted>
  <dcterms:created xsi:type="dcterms:W3CDTF">2014-06-06T13:58:10Z</dcterms:created>
  <dcterms:modified xsi:type="dcterms:W3CDTF">2024-12-05T20:08:59Z</dcterms:modified>
</cp:coreProperties>
</file>