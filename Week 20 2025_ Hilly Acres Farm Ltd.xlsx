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Egg Data Analysis/"/>
    </mc:Choice>
  </mc:AlternateContent>
  <xr:revisionPtr revIDLastSave="1" documentId="13_ncr:1_{D5FF7517-C4C5-40C3-B2E5-C5B6CD7F8BC5}" xr6:coauthVersionLast="47" xr6:coauthVersionMax="47" xr10:uidLastSave="{968A618E-4A60-45D3-8225-F0C512F4B04D}"/>
  <bookViews>
    <workbookView xWindow="-110" yWindow="-110" windowWidth="19420" windowHeight="11500" tabRatio="500" firstSheet="1" activeTab="2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5" l="1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<sst xmlns="http://schemas.openxmlformats.org/spreadsheetml/2006/main" count="543" uniqueCount="239">
  <si>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</si>
  <si>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</si>
  <si>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</si>
  <si>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</si>
  <si>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</si>
  <si>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</si>
  <si>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</si>
  <si>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</si>
  <si>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</si>
  <si>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</si>
  <si>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</si>
  <si>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</si>
  <si>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</si>
  <si>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</si>
  <si>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</si>
  <si>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</si>
  <si>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</si>
  <si>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</si>
  <si>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</si>
  <si>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</si>
  <si>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</si>
  <si>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</si>
  <si>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</si>
  <si>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</si>
  <si>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</si>
  <si>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</si>
  <si>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</si>
  <si>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</si>
  <si>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</si>
  <si>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</si>
  <si>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</si>
  <si>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</si>
  <si>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</si>
  <si>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</si>
  <si>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</si>
  <si>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</si>
  <si>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</si>
  <si>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</si>
  <si>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</si>
  <si>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</si>
  <si>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</si>
  <si>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</si>
  <si>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</si>
  <si>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</si>
  <si>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</si>
  <si>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</si>
  <si>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</si>
  <si>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</si>
  <si>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</si>
  <si>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</si>
  <si>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</si>
  <si>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</si>
  <si>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</si>
  <si>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</si>
  <si>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</si>
  <si>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</si>
  <si>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</si>
  <si>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</si>
  <si>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</si>
  <si>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</si>
  <si>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</si>
  <si>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</si>
  <si>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</si>
  <si>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</si>
  <si>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</si>
  <si>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</si>
  <si>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</si>
  <si>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</si>
  <si>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</si>
  <si>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</si>
  <si>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</si>
  <si>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</si>
  <si>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</si>
  <si>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</si>
  <si>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</si>
  <si>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</si>
  <si>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</si>
  <si>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</si>
  <si>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</si>
  <si>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</si>
  <si>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</si>
  <si>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</si>
  <si>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</si>
  <si>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</si>
  <si>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</si>
  <si>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</si>
  <si>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</si>
  <si>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</si>
  <si>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</si>
  <si>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</si>
  <si>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</si>
  <si>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</si>
  <si>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</si>
  <si>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</si>
  <si>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</si>
  <si>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</si>
  <si>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</si>
  <si>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</si>
  <si>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</si>
  <si>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</si>
  <si>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</si>
  <si>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</si>
  <si>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</si>
  <si>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</si>
  <si>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</si>
  <si>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</si>
  <si>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</si>
  <si>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</si>
  <si>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</si>
  <si>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</si>
  <si>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</si>
  <si>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</si>
  <si>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</si>
  <si>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</si>
  <si>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</si>
  <si>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</si>
  <si>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</si>
  <si>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</si>
  <si>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</si>
  <si>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</si>
  <si>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</si>
  <si>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</si>
  <si>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</si>
  <si>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</si>
  <si>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</si>
  <si>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</si>
  <si>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</si>
  <si>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</si>
  <si>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</si>
  <si>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</si>
  <si>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</si>
  <si>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</si>
  <si>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</si>
  <si>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</si>
  <si>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</si>
  <si>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</si>
  <si>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</si>
  <si>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</si>
  <si>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</si>
  <si>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</si>
  <si>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</si>
  <si>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</si>
  <si>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</si>
  <si>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</si>
  <si>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</si>
  <si>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</si>
  <si>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</si>
  <si>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</si>
  <si>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</si>
  <si>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</si>
  <si>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</si>
  <si>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</si>
  <si>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</si>
  <si>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</si>
  <si>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</si>
  <si>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</si>
  <si>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</si>
  <si>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</si>
  <si>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</si>
  <si>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</si>
  <si>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</si>
  <si>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</si>
  <si>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</si>
  <si>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</si>
  <si>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</si>
  <si>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</si>
  <si>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</si>
  <si>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</si>
  <si>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</si>
  <si>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</si>
  <si>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</si>
  <si>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</si>
  <si>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</si>
  <si>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</si>
  <si>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</si>
  <si>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</si>
  <si>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</si>
  <si>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</si>
  <si>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</si>
  <si>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</si>
  <si>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</si>
  <si>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</si>
  <si>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</si>
  <si>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</si>
  <si>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</si>
  <si>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</si>
  <si>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</si>
  <si>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</si>
  <si>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</si>
  <si>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</si>
  <si>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</si>
  <si>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</si>
  <si>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</si>
  <si>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</si>
  <si>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</si>
  <si>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</si>
  <si>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</si>
  <si>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</si>
  <si>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</si>
  <si>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</si>
  <si>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</si>
  <si>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</si>
  <si>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</si>
  <si>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</si>
  <si>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</si>
  <si>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</si>
  <si>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</si>
  <si>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</si>
  <si>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</si>
  <si>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</si>
  <si>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</si>
  <si>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</si>
  <si>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</si>
  <si>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</si>
  <si>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</si>
  <si>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</si>
  <si>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</si>
  <si>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</si>
  <si>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</si>
  <si>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</si>
  <si>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</si>
  <si>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</si>
  <si>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</si>
  <si>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</si>
  <si>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</si>
  <si>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</si>
  <si>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</si>
  <si>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</si>
  <si>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</si>
  <si>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</si>
  <si>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</si>
  <si>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</si>
  <si>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</si>
  <si>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</si>
  <si>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</si>
  <si>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</si>
  <si>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</si>
  <si>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</si>
  <si>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16/25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</si>
</sst>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18</v>
      </c>
      <c r="B1" s="6"/>
      <c r="C1" s="7"/>
      <c r="D1" s="7"/>
      <c r="E1" s="7"/>
      <c r="F1" s="8" t="s">
        <v>19</v>
      </c>
      <c r="G1" s="171">
        <f>Inputs!C2</f>
        <v>20</v>
      </c>
      <c r="H1" s="7"/>
      <c r="I1" s="7"/>
      <c r="J1" s="7"/>
      <c r="L1" s="9"/>
      <c r="M1" s="6"/>
      <c r="N1" s="6"/>
    </row>
    <row r="2" spans="1:22" ht="14" x14ac:dyDescent="0.3">
      <c r="A2" s="6" t="s">
        <v>20</v>
      </c>
      <c r="B2" s="6"/>
      <c r="C2" s="7"/>
      <c r="D2" s="7"/>
      <c r="E2" s="7"/>
      <c r="F2" s="8" t="s">
        <v>21</v>
      </c>
      <c r="G2" s="238">
        <f>Inputs!C3</f>
        <v>45795.25</v>
      </c>
      <c r="H2" s="239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ht="13" x14ac:dyDescent="0.3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ht="13" x14ac:dyDescent="0.3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11115.383474092674</v>
      </c>
      <c r="I7" s="27">
        <v>0</v>
      </c>
      <c r="J7" s="26">
        <f>IFERROR(H7-I7,"")</f>
        <v>11115.383474092674</v>
      </c>
      <c r="K7" s="26">
        <f>IFERROR(($E$26/($H$27+$H$28)*$H$27)*R28,"")</f>
        <v>55.57691737046337</v>
      </c>
      <c r="L7" s="26">
        <f>IFERROR(($E$26/($H$27+$H$28)*$H$27)*S28,"")</f>
        <v>22.230766948185348</v>
      </c>
      <c r="M7" s="28">
        <f>IFERROR(K7+L7,"")</f>
        <v>77.807684318648711</v>
      </c>
      <c r="N7" s="29">
        <f>IFERROR(O7+P7+Q7+R7+S7+T7+U7+V7,"")</f>
        <v>11037.575789774026</v>
      </c>
      <c r="O7" s="26">
        <f t="shared" ref="O7:V7" si="0">IFERROR(($E$26/($H$27+$H$28)*$H$27)*J28,"")</f>
        <v>1100.4229639351747</v>
      </c>
      <c r="P7" s="26">
        <f>IFERROR(($E$26/($H$27+$H$28)*$H$27)*K28,"")</f>
        <v>4323.8841714220507</v>
      </c>
      <c r="Q7" s="26">
        <f t="shared" si="0"/>
        <v>5313.1533006162981</v>
      </c>
      <c r="R7" s="26">
        <f t="shared" si="0"/>
        <v>277.88458685231689</v>
      </c>
      <c r="S7" s="26">
        <f t="shared" si="0"/>
        <v>0</v>
      </c>
      <c r="T7" s="26">
        <f t="shared" si="0"/>
        <v>0</v>
      </c>
      <c r="U7" s="26">
        <f t="shared" si="0"/>
        <v>22.230766948185348</v>
      </c>
      <c r="V7" s="26">
        <f t="shared" si="0"/>
        <v>0</v>
      </c>
    </row>
    <row r="8" spans="1:22" ht="13" x14ac:dyDescent="0.3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1049.6165259073275</v>
      </c>
      <c r="I8" s="27">
        <v>0</v>
      </c>
      <c r="J8" s="26">
        <f>IFERROR(H8-I8,"")</f>
        <v>1049.6165259073275</v>
      </c>
      <c r="K8" s="26">
        <f>IFERROR(($E$26/($H$27+$H$28)*$H$28)*R28,"")</f>
        <v>5.2480826295366363</v>
      </c>
      <c r="L8" s="26">
        <f>IFERROR(($E$26/($H$27+$H$28)*$H$28)*S28,"")</f>
        <v>2.0992330518146547</v>
      </c>
      <c r="M8" s="28">
        <f>IFERROR(K8+L8,"")</f>
        <v>7.347315681351291</v>
      </c>
      <c r="N8" s="29">
        <f>IFERROR(O8+P8+Q8+R8+S8+T8+U8+V8,"")</f>
        <v>1042.2692102259762</v>
      </c>
      <c r="O8" s="26">
        <f t="shared" ref="O8:V8" si="1">IFERROR(($E$26/($H$27+$H$28)*$H$28)*J28,"")</f>
        <v>103.9120360648254</v>
      </c>
      <c r="P8" s="26">
        <f t="shared" si="1"/>
        <v>408.30082857795031</v>
      </c>
      <c r="Q8" s="26">
        <f t="shared" si="1"/>
        <v>501.71669938370241</v>
      </c>
      <c r="R8" s="26">
        <f t="shared" si="1"/>
        <v>26.240413147683185</v>
      </c>
      <c r="S8" s="26">
        <f t="shared" si="1"/>
        <v>0</v>
      </c>
      <c r="T8" s="26">
        <f t="shared" si="1"/>
        <v>0</v>
      </c>
      <c r="U8" s="26">
        <f t="shared" si="1"/>
        <v>2.0992330518146547</v>
      </c>
      <c r="V8" s="26">
        <f t="shared" si="1"/>
        <v>0</v>
      </c>
    </row>
    <row r="10" spans="1:22" ht="13" x14ac:dyDescent="0.3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22725</v>
      </c>
      <c r="I10" s="27">
        <v>0</v>
      </c>
      <c r="J10" s="26">
        <f>IFERROR(H10-I10,"")</f>
        <v>22725</v>
      </c>
      <c r="K10" s="26">
        <f>IFERROR(($E$30/($H$31+$H$32)*$H$31)*R32,"")</f>
        <v>90.9</v>
      </c>
      <c r="L10" s="26">
        <f>IFERROR(($E$30/($H$31+$H$32)*$H$31)*S32,"")</f>
        <v>22.725000000000001</v>
      </c>
      <c r="M10" s="28">
        <f>IFERROR(K10+L10,"")</f>
        <v>113.625</v>
      </c>
      <c r="N10" s="29">
        <f>IFERROR(O10+P10+Q10+R10+S10+T10+U10+V10,"")</f>
        <v>22611.375</v>
      </c>
      <c r="O10" s="26">
        <f t="shared" ref="O10:V10" si="2">IFERROR(($E$30/($H$31+$H$32)*$H$31)*J32,"")</f>
        <v>795.37500000000011</v>
      </c>
      <c r="P10" s="26">
        <f t="shared" si="2"/>
        <v>7272</v>
      </c>
      <c r="Q10" s="26">
        <f t="shared" si="2"/>
        <v>13475.924999999999</v>
      </c>
      <c r="R10" s="26">
        <f t="shared" si="2"/>
        <v>1022.625</v>
      </c>
      <c r="S10" s="26">
        <f t="shared" si="2"/>
        <v>0</v>
      </c>
      <c r="T10" s="26">
        <f t="shared" si="2"/>
        <v>0</v>
      </c>
      <c r="U10" s="26">
        <f t="shared" si="2"/>
        <v>45.45</v>
      </c>
      <c r="V10" s="26">
        <f t="shared" si="2"/>
        <v>0</v>
      </c>
    </row>
    <row r="11" spans="1:22" ht="13" x14ac:dyDescent="0.3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21123.240668740276</v>
      </c>
      <c r="I13" s="27">
        <v>0</v>
      </c>
      <c r="J13" s="26">
        <f>IFERROR(H13-I13,"")</f>
        <v>21123.240668740276</v>
      </c>
      <c r="K13" s="26">
        <f>IFERROR(($E$34/($H$35+$H$36)*$H$35)*R36,"")</f>
        <v>84.49296267496112</v>
      </c>
      <c r="L13" s="26">
        <f>IFERROR(($E$34/($H$35+$H$36)*$H$35)*S36,"")</f>
        <v>42.24648133748056</v>
      </c>
      <c r="M13" s="28">
        <f>IFERROR(K13+L13,"")</f>
        <v>126.73944401244168</v>
      </c>
      <c r="N13" s="29">
        <f>IFERROR(O13+P13+Q13+R13+S13+T13+U13+V13,"")</f>
        <v>20996.501224727836</v>
      </c>
      <c r="O13" s="26">
        <f t="shared" ref="O13:V13" si="4">IFERROR(($E$34/($H$35+$H$36)*$H$35)*J36,"")</f>
        <v>84.49296267496112</v>
      </c>
      <c r="P13" s="26">
        <f t="shared" si="4"/>
        <v>1330.7641621306377</v>
      </c>
      <c r="Q13" s="26">
        <f t="shared" si="4"/>
        <v>15419.965688180404</v>
      </c>
      <c r="R13" s="26">
        <f t="shared" si="4"/>
        <v>4097.9086897356146</v>
      </c>
      <c r="S13" s="26">
        <f t="shared" si="4"/>
        <v>42.24648133748056</v>
      </c>
      <c r="T13" s="26">
        <f t="shared" si="4"/>
        <v>0</v>
      </c>
      <c r="U13" s="26">
        <f t="shared" si="4"/>
        <v>21.12324066874028</v>
      </c>
      <c r="V13" s="26">
        <f t="shared" si="4"/>
        <v>0</v>
      </c>
    </row>
    <row r="14" spans="1:22" ht="13" x14ac:dyDescent="0.3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2351.7593312597201</v>
      </c>
      <c r="I14" s="27">
        <v>0</v>
      </c>
      <c r="J14" s="26">
        <f>IFERROR(H14-I14,"")</f>
        <v>2351.7593312597201</v>
      </c>
      <c r="K14" s="26">
        <f>IFERROR(($E$34/($H$35+$H$36)*$H$36)*R36,"")</f>
        <v>9.4070373250388801</v>
      </c>
      <c r="L14" s="26">
        <f>IFERROR(($E$34/($H$35+$H$36)*$H$36)*S36,"")</f>
        <v>4.7035186625194401</v>
      </c>
      <c r="M14" s="28">
        <f>IFERROR(K14+L14,"")</f>
        <v>14.110555987558321</v>
      </c>
      <c r="N14" s="29">
        <f>IFERROR(O14+P14+Q14+R14+S14+T14+U14+V14,"")</f>
        <v>2337.6487752721619</v>
      </c>
      <c r="O14" s="26">
        <f t="shared" ref="O14:V14" si="5">IFERROR(($E$34/($H$35+$H$36)*$H$36)*J36,"")</f>
        <v>9.4070373250388801</v>
      </c>
      <c r="P14" s="26">
        <f t="shared" si="5"/>
        <v>148.16083786936235</v>
      </c>
      <c r="Q14" s="26">
        <f t="shared" si="5"/>
        <v>1716.7843118195956</v>
      </c>
      <c r="R14" s="26">
        <f t="shared" si="5"/>
        <v>456.24131026438573</v>
      </c>
      <c r="S14" s="26">
        <f t="shared" si="5"/>
        <v>4.7035186625194401</v>
      </c>
      <c r="T14" s="26">
        <f t="shared" si="5"/>
        <v>0</v>
      </c>
      <c r="U14" s="26">
        <f t="shared" si="5"/>
        <v>2.35175933125972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11309.999999999998</v>
      </c>
      <c r="I16" s="27">
        <v>0</v>
      </c>
      <c r="J16" s="26">
        <f>IFERROR(H16-I16,"")</f>
        <v>11309.999999999998</v>
      </c>
      <c r="K16" s="26">
        <f>IFERROR(($E$38/($H$39)*$H$39)*R40,"")</f>
        <v>67.859999999999985</v>
      </c>
      <c r="L16" s="26">
        <f>IFERROR(($E$38/($H$39)*$H$39)*S40,"")</f>
        <v>11.309999999999999</v>
      </c>
      <c r="M16" s="28">
        <f>IFERROR(K16+L16,"")</f>
        <v>79.169999999999987</v>
      </c>
      <c r="N16" s="29">
        <f>IFERROR(O16+P16+Q16+R16+S16+T16+U16+V16,"")</f>
        <v>11230.829999999998</v>
      </c>
      <c r="O16" s="26">
        <f t="shared" ref="O16:V16" si="6">IFERROR(($E$38/($H$39)*$H$39)*J40,"")</f>
        <v>678.59999999999991</v>
      </c>
      <c r="P16" s="26">
        <f t="shared" si="6"/>
        <v>4184.6999999999989</v>
      </c>
      <c r="Q16" s="26">
        <f t="shared" si="6"/>
        <v>5892.5099999999993</v>
      </c>
      <c r="R16" s="26">
        <f t="shared" si="6"/>
        <v>452.39999999999992</v>
      </c>
      <c r="S16" s="26">
        <f t="shared" si="6"/>
        <v>0</v>
      </c>
      <c r="T16" s="26">
        <f t="shared" si="6"/>
        <v>0</v>
      </c>
      <c r="U16" s="26">
        <f t="shared" si="6"/>
        <v>22.619999999999997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69675</v>
      </c>
      <c r="I19" s="37">
        <f t="shared" si="7"/>
        <v>0</v>
      </c>
      <c r="J19" s="37">
        <f t="shared" si="7"/>
        <v>69675</v>
      </c>
      <c r="K19" s="37">
        <f t="shared" si="7"/>
        <v>313.48500000000001</v>
      </c>
      <c r="L19" s="37">
        <f t="shared" si="7"/>
        <v>105.31500000000001</v>
      </c>
      <c r="M19" s="37">
        <f t="shared" si="7"/>
        <v>418.79999999999995</v>
      </c>
      <c r="N19" s="37">
        <f t="shared" si="7"/>
        <v>69256.2</v>
      </c>
      <c r="O19" s="37">
        <f t="shared" si="7"/>
        <v>2772.21</v>
      </c>
      <c r="P19" s="37">
        <f t="shared" si="7"/>
        <v>17667.809999999998</v>
      </c>
      <c r="Q19" s="37">
        <f t="shared" si="7"/>
        <v>42320.055</v>
      </c>
      <c r="R19" s="37">
        <f t="shared" si="7"/>
        <v>6333.3</v>
      </c>
      <c r="S19" s="37">
        <f t="shared" si="7"/>
        <v>46.95</v>
      </c>
      <c r="T19" s="37">
        <f t="shared" si="7"/>
        <v>0</v>
      </c>
      <c r="U19" s="37">
        <f t="shared" si="7"/>
        <v>115.875</v>
      </c>
      <c r="V19" s="37">
        <f t="shared" si="7"/>
        <v>0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69675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1204.335</v>
      </c>
      <c r="K27" s="198">
        <f t="shared" ref="K27:S27" si="8">$E$26*K28</f>
        <v>4732.1850000000004</v>
      </c>
      <c r="L27" s="198">
        <f t="shared" si="8"/>
        <v>5814.87</v>
      </c>
      <c r="M27" s="198">
        <f t="shared" si="8"/>
        <v>304.125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60.825000000000003</v>
      </c>
      <c r="S27" s="198">
        <f t="shared" si="8"/>
        <v>24.330000000000002</v>
      </c>
      <c r="T27" s="199">
        <f>SUM(J27:S27)</f>
        <v>12165</v>
      </c>
    </row>
    <row r="28" spans="1:22" x14ac:dyDescent="0.25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5" x14ac:dyDescent="0.35">
      <c r="A30" s="50" t="s">
        <v>62</v>
      </c>
      <c r="B30" s="51"/>
      <c r="C30" s="51"/>
      <c r="D30" s="51"/>
      <c r="E30" s="208">
        <f>Inputs!J30</f>
        <v>22725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795.37500000000011</v>
      </c>
      <c r="K31" s="198">
        <f t="shared" ref="K31:S31" si="9">$E30*K32</f>
        <v>7272</v>
      </c>
      <c r="L31" s="198">
        <f t="shared" si="9"/>
        <v>13475.924999999999</v>
      </c>
      <c r="M31" s="198">
        <f t="shared" si="9"/>
        <v>1022.625</v>
      </c>
      <c r="N31" s="198">
        <f t="shared" si="9"/>
        <v>0</v>
      </c>
      <c r="O31" s="198">
        <f t="shared" si="9"/>
        <v>0</v>
      </c>
      <c r="P31" s="198">
        <f t="shared" si="9"/>
        <v>45.45</v>
      </c>
      <c r="Q31" s="198">
        <f t="shared" si="9"/>
        <v>0</v>
      </c>
      <c r="R31" s="198">
        <f t="shared" si="9"/>
        <v>90.9</v>
      </c>
      <c r="S31" s="198">
        <f t="shared" si="9"/>
        <v>22.725000000000001</v>
      </c>
      <c r="T31" s="199">
        <f>SUM(J31:S31)</f>
        <v>22725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35">
      <c r="A34" s="50" t="s">
        <v>208</v>
      </c>
      <c r="B34" s="51"/>
      <c r="C34" s="51"/>
      <c r="D34" s="51"/>
      <c r="E34" s="208">
        <f>Inputs!J31+Inputs!K31</f>
        <v>23475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93.9</v>
      </c>
      <c r="K35" s="198">
        <f t="shared" ref="K35:S35" si="10">$E34*K36</f>
        <v>1478.925</v>
      </c>
      <c r="L35" s="198">
        <f t="shared" si="10"/>
        <v>17136.75</v>
      </c>
      <c r="M35" s="198">
        <f t="shared" si="10"/>
        <v>4554.1500000000005</v>
      </c>
      <c r="N35" s="198">
        <f t="shared" si="10"/>
        <v>46.95</v>
      </c>
      <c r="O35" s="198">
        <f t="shared" si="10"/>
        <v>0</v>
      </c>
      <c r="P35" s="198">
        <f t="shared" si="10"/>
        <v>23.475000000000001</v>
      </c>
      <c r="Q35" s="198">
        <f t="shared" si="10"/>
        <v>0</v>
      </c>
      <c r="R35" s="198">
        <f t="shared" si="10"/>
        <v>93.9</v>
      </c>
      <c r="S35" s="198">
        <f t="shared" si="10"/>
        <v>46.95</v>
      </c>
      <c r="T35" s="199">
        <f>SUM(J35:S35)</f>
        <v>23475.000000000004</v>
      </c>
    </row>
    <row r="36" spans="1:20" x14ac:dyDescent="0.25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61</v>
      </c>
      <c r="B38" s="51"/>
      <c r="C38" s="51"/>
      <c r="D38" s="51"/>
      <c r="E38" s="196">
        <f>Inputs!J32</f>
        <v>11310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678.6</v>
      </c>
      <c r="K39" s="198">
        <f t="shared" ref="K39:S39" si="11">$E38*K40</f>
        <v>4184.7</v>
      </c>
      <c r="L39" s="198">
        <f t="shared" si="11"/>
        <v>5892.51</v>
      </c>
      <c r="M39" s="198">
        <f t="shared" si="11"/>
        <v>452.40000000000003</v>
      </c>
      <c r="N39" s="198">
        <f t="shared" si="11"/>
        <v>0</v>
      </c>
      <c r="O39" s="198">
        <f t="shared" si="11"/>
        <v>0</v>
      </c>
      <c r="P39" s="198">
        <f t="shared" si="11"/>
        <v>22.62</v>
      </c>
      <c r="Q39" s="198">
        <f t="shared" si="11"/>
        <v>0</v>
      </c>
      <c r="R39" s="198">
        <f t="shared" si="11"/>
        <v>67.86</v>
      </c>
      <c r="S39" s="198">
        <f t="shared" si="11"/>
        <v>11.31</v>
      </c>
      <c r="T39" s="199">
        <f>SUM(J39:S39)</f>
        <v>11310.000000000002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65</v>
      </c>
      <c r="B3" s="207">
        <f>Inputs!C3</f>
        <v>45795.25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5" customHeight="1" x14ac:dyDescent="0.3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5" customHeight="1" x14ac:dyDescent="0.3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71</v>
      </c>
      <c r="B9" s="71" t="s">
        <v>72</v>
      </c>
      <c r="C9" s="68"/>
      <c r="D9" s="68"/>
      <c r="E9" s="206">
        <f>Inputs!C2</f>
        <v>20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35">
      <c r="A13" s="82" t="s">
        <v>75</v>
      </c>
      <c r="B13" s="219">
        <f>C13/15</f>
        <v>1320</v>
      </c>
      <c r="C13" s="220">
        <f>'Grade out Information'!X26</f>
        <v>19800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35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84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5" customHeight="1" x14ac:dyDescent="0.35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35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abSelected="1" topLeftCell="B2" zoomScale="90" zoomScaleNormal="90" workbookViewId="0">
      <selection activeCell="L17" sqref="L17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</cols>
  <sheetData>
    <row r="1" spans="1:30" x14ac:dyDescent="0.25">
      <c r="A1" t="s">
        <v>100</v>
      </c>
    </row>
    <row r="3" spans="1:30" x14ac:dyDescent="0.25">
      <c r="A3" t="s">
        <v>67</v>
      </c>
      <c r="N3" s="121"/>
      <c r="O3" s="121"/>
    </row>
    <row r="4" spans="1:30" x14ac:dyDescent="0.25">
      <c r="A4" s="3" t="s">
        <v>18</v>
      </c>
      <c r="N4" s="121"/>
      <c r="O4" s="121"/>
    </row>
    <row r="5" spans="1:30" x14ac:dyDescent="0.25">
      <c r="N5" s="122"/>
      <c r="O5" s="122"/>
    </row>
    <row r="7" spans="1:30" x14ac:dyDescent="0.25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5">
      <c r="A8" s="183">
        <f>Inputs!C2</f>
        <v>20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ht="13" x14ac:dyDescent="0.3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4.5" x14ac:dyDescent="0.3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4.5" x14ac:dyDescent="0.3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5" x14ac:dyDescent="0.3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4.5" x14ac:dyDescent="0.3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7455</v>
      </c>
      <c r="J15" s="133">
        <f>X15*K15</f>
        <v>3638.04</v>
      </c>
      <c r="K15" s="184">
        <f>Inputs!B36</f>
        <v>0.48799999999999999</v>
      </c>
      <c r="L15" s="133">
        <f>X15*M15</f>
        <v>3563.49</v>
      </c>
      <c r="M15" s="184">
        <f>Inputs!B39</f>
        <v>0.47799999999999998</v>
      </c>
      <c r="N15" s="133">
        <f>X15*O15</f>
        <v>186.375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67.095000000000013</v>
      </c>
      <c r="W15" s="185">
        <f>Inputs!B43</f>
        <v>9.0000000000000011E-3</v>
      </c>
      <c r="X15" s="213">
        <f>Z15*15</f>
        <v>7455</v>
      </c>
      <c r="Y15" s="209">
        <f>K15+M15+O15+Q15+S15+U15+W15</f>
        <v>1</v>
      </c>
      <c r="Z15" s="226">
        <f>Inputs!I35</f>
        <v>497</v>
      </c>
      <c r="AA15" s="3"/>
      <c r="AB15" s="133"/>
      <c r="AC15" s="3"/>
      <c r="AD15" s="133"/>
    </row>
    <row r="16" spans="1:30" ht="14.5" x14ac:dyDescent="0.3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644.99999999999989</v>
      </c>
      <c r="J16" s="133">
        <f>X16*K16</f>
        <v>314.76</v>
      </c>
      <c r="K16" s="184">
        <f>K15</f>
        <v>0.48799999999999999</v>
      </c>
      <c r="L16" s="133">
        <f>X16*M16</f>
        <v>308.31</v>
      </c>
      <c r="M16" s="184">
        <f>M15</f>
        <v>0.47799999999999998</v>
      </c>
      <c r="N16" s="133">
        <f t="shared" ref="N16:N21" si="0">X16*O16</f>
        <v>16.125</v>
      </c>
      <c r="O16" s="184">
        <f>O15</f>
        <v>2.5000000000000001E-2</v>
      </c>
      <c r="P16" s="133">
        <f t="shared" ref="P16:P23" si="1">X16*Q16</f>
        <v>0</v>
      </c>
      <c r="Q16" s="184">
        <f>Q15</f>
        <v>0</v>
      </c>
      <c r="R16" s="133">
        <f t="shared" ref="R16:R23" si="2">X16*S16</f>
        <v>0</v>
      </c>
      <c r="S16" s="184">
        <f>S15</f>
        <v>0</v>
      </c>
      <c r="T16" s="212">
        <f t="shared" ref="T16:T23" si="3">X16*U16</f>
        <v>0</v>
      </c>
      <c r="U16" s="134">
        <v>0</v>
      </c>
      <c r="V16" s="133">
        <f t="shared" ref="V16:V23" si="4">X16*W16</f>
        <v>5.8050000000000006</v>
      </c>
      <c r="W16" s="185">
        <f>W15</f>
        <v>9.0000000000000011E-3</v>
      </c>
      <c r="X16" s="213">
        <f t="shared" ref="X16:X23" si="5">Z16*15</f>
        <v>645</v>
      </c>
      <c r="Y16" s="209">
        <f>K16+M16+O16+Q16+S16+U16+W16</f>
        <v>1</v>
      </c>
      <c r="Z16" s="226">
        <f>Inputs!I36</f>
        <v>43</v>
      </c>
      <c r="AA16" s="3"/>
      <c r="AB16" s="133"/>
      <c r="AC16" s="3"/>
      <c r="AD16" s="133"/>
    </row>
    <row r="17" spans="1:30" ht="14.5" x14ac:dyDescent="0.3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6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4.5" x14ac:dyDescent="0.3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6"/>
        <v>2700</v>
      </c>
      <c r="J18" s="133">
        <f>X18*K18</f>
        <v>958.5</v>
      </c>
      <c r="K18" s="184">
        <f>Inputs!C36</f>
        <v>0.35499999999999998</v>
      </c>
      <c r="L18" s="133">
        <f t="shared" ref="L16:L23" si="7">X18*M18</f>
        <v>1601.1</v>
      </c>
      <c r="M18" s="184">
        <f>Inputs!C39</f>
        <v>0.59299999999999997</v>
      </c>
      <c r="N18" s="133">
        <f t="shared" si="0"/>
        <v>121.5</v>
      </c>
      <c r="O18" s="184">
        <f>Inputs!C40</f>
        <v>4.4999999999999998E-2</v>
      </c>
      <c r="P18" s="133">
        <f t="shared" si="1"/>
        <v>0</v>
      </c>
      <c r="Q18" s="184">
        <f>Inputs!C41</f>
        <v>0</v>
      </c>
      <c r="R18" s="133">
        <f t="shared" si="2"/>
        <v>0</v>
      </c>
      <c r="S18" s="184">
        <f>Inputs!C42</f>
        <v>0</v>
      </c>
      <c r="T18" s="212">
        <f t="shared" si="3"/>
        <v>0</v>
      </c>
      <c r="U18" s="134">
        <v>0</v>
      </c>
      <c r="V18" s="133">
        <f t="shared" si="4"/>
        <v>18.900000000000002</v>
      </c>
      <c r="W18" s="185">
        <f>Inputs!C43</f>
        <v>7.0000000000000001E-3</v>
      </c>
      <c r="X18" s="213">
        <f t="shared" si="5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4.5" x14ac:dyDescent="0.35">
      <c r="A19" s="133"/>
      <c r="B19" s="130"/>
      <c r="C19" s="130"/>
      <c r="D19" s="130"/>
      <c r="E19" s="130"/>
      <c r="F19" s="130"/>
      <c r="G19" s="130"/>
      <c r="H19" s="130"/>
      <c r="I19" s="133">
        <f t="shared" si="6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4.5" x14ac:dyDescent="0.3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6"/>
        <v>4020</v>
      </c>
      <c r="J20" s="133">
        <f>X20*K20</f>
        <v>269.34000000000003</v>
      </c>
      <c r="K20" s="184">
        <f>Inputs!D36</f>
        <v>6.7000000000000004E-2</v>
      </c>
      <c r="L20" s="133">
        <f t="shared" si="7"/>
        <v>2934.6</v>
      </c>
      <c r="M20" s="184">
        <f>Inputs!D39</f>
        <v>0.73</v>
      </c>
      <c r="N20" s="133">
        <f t="shared" si="0"/>
        <v>779.88</v>
      </c>
      <c r="O20" s="184">
        <f>Inputs!D40</f>
        <v>0.19400000000000001</v>
      </c>
      <c r="P20" s="133">
        <f t="shared" si="1"/>
        <v>8.0400000000000009</v>
      </c>
      <c r="Q20" s="184">
        <f>Inputs!D41</f>
        <v>2E-3</v>
      </c>
      <c r="R20" s="133">
        <f t="shared" si="2"/>
        <v>0</v>
      </c>
      <c r="S20" s="184">
        <f>Inputs!D42</f>
        <v>0</v>
      </c>
      <c r="T20" s="212">
        <f t="shared" si="3"/>
        <v>0</v>
      </c>
      <c r="U20" s="134">
        <v>0</v>
      </c>
      <c r="V20" s="133">
        <f t="shared" si="4"/>
        <v>28.14</v>
      </c>
      <c r="W20" s="185">
        <f>Inputs!D43</f>
        <v>7.0000000000000001E-3</v>
      </c>
      <c r="X20" s="213">
        <f t="shared" si="5"/>
        <v>4020</v>
      </c>
      <c r="Y20" s="209">
        <f>K20+M20+O20+Q20+S20+U20+W20</f>
        <v>0.99999999999999989</v>
      </c>
      <c r="Z20" s="226">
        <f>Inputs!I38</f>
        <v>268</v>
      </c>
      <c r="AA20" s="3"/>
      <c r="AB20" s="133"/>
      <c r="AC20" s="3"/>
      <c r="AD20" s="133"/>
    </row>
    <row r="21" spans="1:30" ht="14.5" x14ac:dyDescent="0.3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6"/>
        <v>480</v>
      </c>
      <c r="J21" s="133">
        <f>X21*K21</f>
        <v>32.160000000000004</v>
      </c>
      <c r="K21" s="184">
        <f>K20</f>
        <v>6.7000000000000004E-2</v>
      </c>
      <c r="L21" s="133">
        <f t="shared" si="7"/>
        <v>350.4</v>
      </c>
      <c r="M21" s="184">
        <f>M20</f>
        <v>0.73</v>
      </c>
      <c r="N21" s="133">
        <f t="shared" si="0"/>
        <v>93.12</v>
      </c>
      <c r="O21" s="184">
        <f>O20</f>
        <v>0.19400000000000001</v>
      </c>
      <c r="P21" s="133">
        <f t="shared" si="1"/>
        <v>0.96</v>
      </c>
      <c r="Q21" s="184">
        <f>Q20</f>
        <v>2E-3</v>
      </c>
      <c r="R21" s="133">
        <f t="shared" si="2"/>
        <v>0</v>
      </c>
      <c r="S21" s="184">
        <f>S20</f>
        <v>0</v>
      </c>
      <c r="T21" s="212">
        <f t="shared" si="3"/>
        <v>0</v>
      </c>
      <c r="U21" s="134">
        <v>0</v>
      </c>
      <c r="V21" s="133">
        <f t="shared" si="4"/>
        <v>3.36</v>
      </c>
      <c r="W21" s="185">
        <f>W20</f>
        <v>7.0000000000000001E-3</v>
      </c>
      <c r="X21" s="213">
        <f t="shared" si="5"/>
        <v>480</v>
      </c>
      <c r="Y21" s="209">
        <f>K21+M21+O21+Q21+S21+U21+W21</f>
        <v>0.99999999999999989</v>
      </c>
      <c r="Z21" s="226">
        <f>Inputs!I39</f>
        <v>32</v>
      </c>
      <c r="AA21" s="3"/>
      <c r="AB21" s="133"/>
      <c r="AC21" s="3"/>
      <c r="AD21" s="133"/>
    </row>
    <row r="22" spans="1:30" ht="14.5" x14ac:dyDescent="0.35">
      <c r="A22" s="133"/>
      <c r="B22" s="130"/>
      <c r="C22" s="130"/>
      <c r="D22" s="130"/>
      <c r="E22" s="130"/>
      <c r="F22" s="130"/>
      <c r="G22" s="130"/>
      <c r="H22" s="130"/>
      <c r="I22" s="133">
        <f t="shared" si="6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4.5" x14ac:dyDescent="0.3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6"/>
        <v>4500</v>
      </c>
      <c r="J23" s="133">
        <f>X23*K23</f>
        <v>1935</v>
      </c>
      <c r="K23" s="184">
        <f>Inputs!E36</f>
        <v>0.43</v>
      </c>
      <c r="L23" s="133">
        <f t="shared" si="7"/>
        <v>2344.5</v>
      </c>
      <c r="M23" s="184">
        <f>Inputs!E39</f>
        <v>0.52100000000000002</v>
      </c>
      <c r="N23" s="133">
        <f>X23*O23</f>
        <v>180</v>
      </c>
      <c r="O23" s="184">
        <f>Inputs!E40</f>
        <v>0.04</v>
      </c>
      <c r="P23" s="133">
        <f t="shared" si="1"/>
        <v>0</v>
      </c>
      <c r="Q23" s="184">
        <f>Inputs!E41</f>
        <v>0</v>
      </c>
      <c r="R23" s="133">
        <f t="shared" si="2"/>
        <v>0</v>
      </c>
      <c r="S23" s="184">
        <f>Inputs!E42</f>
        <v>0</v>
      </c>
      <c r="T23" s="212">
        <f t="shared" si="3"/>
        <v>0</v>
      </c>
      <c r="U23" s="134">
        <v>0</v>
      </c>
      <c r="V23" s="133">
        <f t="shared" si="4"/>
        <v>40.500000000000007</v>
      </c>
      <c r="W23" s="218">
        <f>Inputs!E43</f>
        <v>9.0000000000000011E-3</v>
      </c>
      <c r="X23" s="213">
        <f t="shared" si="5"/>
        <v>4500</v>
      </c>
      <c r="Y23" s="209">
        <f>K23+M23+O23+Q23+S23+U23+W23</f>
        <v>1</v>
      </c>
      <c r="Z23" s="226">
        <f>Inputs!I40</f>
        <v>300</v>
      </c>
      <c r="AA23" s="3"/>
      <c r="AB23" s="133"/>
      <c r="AC23" s="3"/>
      <c r="AD23" s="133"/>
    </row>
    <row r="24" spans="1:30" ht="14.5" x14ac:dyDescent="0.3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5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5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7147.8</v>
      </c>
      <c r="K26" s="139"/>
      <c r="L26" s="139">
        <f>SUM(L15:L25)</f>
        <v>11102.4</v>
      </c>
      <c r="M26" s="139"/>
      <c r="N26" s="139">
        <f>SUM(N15:N25)</f>
        <v>1377</v>
      </c>
      <c r="O26" s="139"/>
      <c r="P26" s="139">
        <f>SUM(P15:P25)</f>
        <v>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163.80000000000004</v>
      </c>
      <c r="W26" s="139"/>
      <c r="X26" s="139">
        <f>SUM(X15:X25)</f>
        <v>19800</v>
      </c>
      <c r="Y26" s="139"/>
      <c r="Z26" s="139">
        <f>SUM(Z15:Z25)</f>
        <v>1320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5">
      <c r="A30" s="3" t="s">
        <v>107</v>
      </c>
      <c r="B30">
        <f>J26</f>
        <v>7147.8</v>
      </c>
    </row>
    <row r="31" spans="1:30" x14ac:dyDescent="0.25">
      <c r="A31" s="3" t="s">
        <v>108</v>
      </c>
      <c r="B31">
        <f>L26</f>
        <v>11102.4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5">
      <c r="A32" s="3" t="s">
        <v>109</v>
      </c>
      <c r="B32">
        <f>N26</f>
        <v>1377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110</v>
      </c>
      <c r="B33">
        <f>P26</f>
        <v>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111</v>
      </c>
      <c r="B34">
        <f>R26</f>
        <v>0</v>
      </c>
    </row>
    <row r="35" spans="1:13" x14ac:dyDescent="0.25">
      <c r="A35" s="3" t="s">
        <v>112</v>
      </c>
      <c r="B35">
        <f>T26</f>
        <v>0</v>
      </c>
    </row>
    <row r="36" spans="1:13" x14ac:dyDescent="0.25">
      <c r="A36" s="3" t="s">
        <v>113</v>
      </c>
      <c r="B36">
        <f>V26</f>
        <v>163.80000000000004</v>
      </c>
    </row>
    <row r="38" spans="1:13" x14ac:dyDescent="0.25">
      <c r="A38" s="3" t="s">
        <v>128</v>
      </c>
      <c r="B38">
        <f>SUM(B30:B36)</f>
        <v>19800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5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5">
      <c r="H5" s="195"/>
    </row>
    <row r="6" spans="1:9" x14ac:dyDescent="0.25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.5" x14ac:dyDescent="0.35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5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5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5">
      <c r="H10" s="195"/>
      <c r="I10" s="30"/>
    </row>
    <row r="11" spans="1:9" ht="15.5" x14ac:dyDescent="0.35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5">
      <c r="I13" s="25"/>
    </row>
    <row r="14" spans="1:9" x14ac:dyDescent="0.25">
      <c r="A14" s="3"/>
      <c r="C14" s="24"/>
      <c r="D14" s="25"/>
      <c r="E14" s="25"/>
      <c r="F14" s="25"/>
      <c r="G14" s="25"/>
      <c r="H14" s="30"/>
      <c r="I14" s="25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2" sqref="N32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16" x14ac:dyDescent="0.3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3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3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3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3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3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35">
      <c r="A7" s="148">
        <v>1</v>
      </c>
      <c r="B7" s="189">
        <f>Inputs!C$2</f>
        <v>20</v>
      </c>
      <c r="C7" s="151">
        <v>940692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1453</v>
      </c>
      <c r="J7" s="189">
        <f>IF(H7="NEW",203, IF(H7="OLD",192,0))</f>
        <v>203</v>
      </c>
      <c r="K7" s="151">
        <v>1656</v>
      </c>
      <c r="L7" s="211">
        <f>IF(K7&gt;0,I7/E7,"NA")</f>
        <v>24.216666666666665</v>
      </c>
      <c r="M7" s="151">
        <v>129113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31.892857142857142</v>
      </c>
    </row>
    <row r="8" spans="1:16" x14ac:dyDescent="0.35">
      <c r="A8" s="148">
        <v>2</v>
      </c>
      <c r="B8" s="189">
        <f>Inputs!C$2</f>
        <v>20</v>
      </c>
      <c r="C8" s="151">
        <v>940693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1435</v>
      </c>
      <c r="J8" s="189">
        <f>IF(H8="NEW",203, IF(H8="OLD",192,0))</f>
        <v>203</v>
      </c>
      <c r="K8" s="151">
        <v>1638</v>
      </c>
      <c r="L8" s="211">
        <f>IF(K8&gt;0,I8/E8,"NA")</f>
        <v>23.916666666666668</v>
      </c>
      <c r="M8" s="151">
        <v>129113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31.892857142857142</v>
      </c>
    </row>
    <row r="9" spans="1:16" x14ac:dyDescent="0.35">
      <c r="A9" s="148">
        <v>3</v>
      </c>
      <c r="B9" s="189">
        <f>Inputs!C$2</f>
        <v>20</v>
      </c>
      <c r="C9" s="151">
        <v>940694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1423</v>
      </c>
      <c r="J9" s="189">
        <f>IF(H9="NEW",203, IF(H9="OLD",192,0))</f>
        <v>203</v>
      </c>
      <c r="K9" s="151">
        <v>1626</v>
      </c>
      <c r="L9" s="211">
        <f t="shared" ref="L9:L72" si="1">IF(K9&gt;0,I9/E9,"NA")</f>
        <v>23.716666666666665</v>
      </c>
      <c r="M9" s="151">
        <v>129113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31.892857142857142</v>
      </c>
    </row>
    <row r="10" spans="1:16" x14ac:dyDescent="0.35">
      <c r="A10" s="148">
        <v>4</v>
      </c>
      <c r="B10" s="189">
        <f>Inputs!C$2</f>
        <v>20</v>
      </c>
      <c r="C10" s="151">
        <v>940695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1447</v>
      </c>
      <c r="J10" s="189">
        <f>IF(H10="NEW",203, IF(H10="OLD",192,0))</f>
        <v>203</v>
      </c>
      <c r="K10" s="151">
        <v>1650</v>
      </c>
      <c r="L10" s="211">
        <f t="shared" si="1"/>
        <v>24.116666666666667</v>
      </c>
      <c r="M10" s="151">
        <v>129113</v>
      </c>
      <c r="N10" s="152" t="s">
        <v>238</v>
      </c>
      <c r="O10" s="157" t="s">
        <v>237</v>
      </c>
      <c r="P10" s="187">
        <f>IF(D10=Inputs!F$2,Inputs!I$2,IF(D10=Inputs!F$3,Inputs!I$3,IF(D10=Inputs!F$4,Inputs!I$4,IF(D10=Inputs!F$5,Inputs!I$5,"NA"))))</f>
        <v>31.892857142857142</v>
      </c>
    </row>
    <row r="11" spans="1:16" x14ac:dyDescent="0.35">
      <c r="A11" s="148">
        <v>5</v>
      </c>
      <c r="B11" s="189">
        <f>Inputs!C$2</f>
        <v>20</v>
      </c>
      <c r="C11" s="151">
        <v>940696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1535</v>
      </c>
      <c r="J11" s="189">
        <f t="shared" ref="J11:J72" si="2">IF(H11="NEW",203, IF(H11="OLD",192,0))</f>
        <v>203</v>
      </c>
      <c r="K11" s="151">
        <v>1738</v>
      </c>
      <c r="L11" s="211">
        <f>IF(K11&gt;0,I11/E11,"NA")</f>
        <v>25.583333333333332</v>
      </c>
      <c r="M11" s="151">
        <v>129113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75.892857142857139</v>
      </c>
    </row>
    <row r="12" spans="1:16" x14ac:dyDescent="0.35">
      <c r="A12" s="148">
        <v>6</v>
      </c>
      <c r="B12" s="189">
        <f>Inputs!C$2</f>
        <v>20</v>
      </c>
      <c r="C12" s="151">
        <v>940697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1523</v>
      </c>
      <c r="J12" s="189">
        <f t="shared" si="2"/>
        <v>203</v>
      </c>
      <c r="K12" s="151">
        <v>1726</v>
      </c>
      <c r="L12" s="211">
        <f t="shared" si="1"/>
        <v>25.383333333333333</v>
      </c>
      <c r="M12" s="151">
        <v>129113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75.892857142857139</v>
      </c>
    </row>
    <row r="13" spans="1:16" x14ac:dyDescent="0.35">
      <c r="A13" s="148">
        <v>7</v>
      </c>
      <c r="B13" s="189">
        <f>Inputs!C$2</f>
        <v>20</v>
      </c>
      <c r="C13" s="151">
        <v>940698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1501</v>
      </c>
      <c r="J13" s="189">
        <f t="shared" si="2"/>
        <v>203</v>
      </c>
      <c r="K13" s="151">
        <v>1704</v>
      </c>
      <c r="L13" s="211">
        <f t="shared" si="1"/>
        <v>25.016666666666666</v>
      </c>
      <c r="M13" s="151">
        <v>129113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57.892857142857146</v>
      </c>
    </row>
    <row r="14" spans="1:16" x14ac:dyDescent="0.35">
      <c r="A14" s="148">
        <v>8</v>
      </c>
      <c r="B14" s="189">
        <f>Inputs!C$2</f>
        <v>20</v>
      </c>
      <c r="C14" s="151">
        <v>940699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1505</v>
      </c>
      <c r="J14" s="189">
        <f t="shared" si="2"/>
        <v>203</v>
      </c>
      <c r="K14" s="151">
        <v>1708</v>
      </c>
      <c r="L14" s="211">
        <f t="shared" si="1"/>
        <v>25.083333333333332</v>
      </c>
      <c r="M14" s="151">
        <v>129113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57.892857142857146</v>
      </c>
    </row>
    <row r="15" spans="1:16" x14ac:dyDescent="0.35">
      <c r="A15" s="148">
        <v>9</v>
      </c>
      <c r="B15" s="189">
        <f>Inputs!C$2</f>
        <v>20</v>
      </c>
      <c r="C15" s="151">
        <v>940700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1489</v>
      </c>
      <c r="J15" s="189">
        <f t="shared" si="2"/>
        <v>203</v>
      </c>
      <c r="K15" s="151">
        <v>1692</v>
      </c>
      <c r="L15" s="211">
        <f t="shared" si="1"/>
        <v>24.816666666666666</v>
      </c>
      <c r="M15" s="151">
        <v>129113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57.892857142857146</v>
      </c>
    </row>
    <row r="16" spans="1:16" x14ac:dyDescent="0.35">
      <c r="A16" s="148">
        <v>10</v>
      </c>
      <c r="B16" s="189">
        <f>Inputs!C$2</f>
        <v>20</v>
      </c>
      <c r="C16" s="151">
        <v>940701</v>
      </c>
      <c r="D16" s="188" t="s">
        <v>5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1505</v>
      </c>
      <c r="J16" s="189">
        <f t="shared" si="2"/>
        <v>203</v>
      </c>
      <c r="K16" s="151">
        <v>1708</v>
      </c>
      <c r="L16" s="211">
        <f t="shared" si="1"/>
        <v>25.083333333333332</v>
      </c>
      <c r="M16" s="151">
        <v>129113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49.464285714285715</v>
      </c>
    </row>
    <row r="17" spans="1:16" x14ac:dyDescent="0.35">
      <c r="A17" s="148">
        <v>11</v>
      </c>
      <c r="B17" s="189">
        <f>Inputs!C$2</f>
        <v>20</v>
      </c>
      <c r="C17" s="151">
        <v>940702</v>
      </c>
      <c r="D17" s="188" t="s">
        <v>5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1519</v>
      </c>
      <c r="J17" s="189">
        <f t="shared" si="2"/>
        <v>203</v>
      </c>
      <c r="K17" s="151">
        <v>1722</v>
      </c>
      <c r="L17" s="211">
        <f t="shared" si="1"/>
        <v>25.316666666666666</v>
      </c>
      <c r="M17" s="151">
        <v>129113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49.464285714285715</v>
      </c>
    </row>
    <row r="18" spans="1:16" x14ac:dyDescent="0.35">
      <c r="A18" s="148">
        <v>12</v>
      </c>
      <c r="B18" s="189">
        <f>Inputs!C$2</f>
        <v>20</v>
      </c>
      <c r="C18" s="151">
        <v>940703</v>
      </c>
      <c r="D18" s="188" t="s">
        <v>5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1545</v>
      </c>
      <c r="J18" s="189">
        <f t="shared" si="2"/>
        <v>203</v>
      </c>
      <c r="K18" s="151">
        <v>1748</v>
      </c>
      <c r="L18" s="211">
        <f t="shared" si="1"/>
        <v>25.75</v>
      </c>
      <c r="M18" s="151">
        <v>129113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49.464285714285715</v>
      </c>
    </row>
    <row r="19" spans="1:16" x14ac:dyDescent="0.35">
      <c r="A19" s="148">
        <v>13</v>
      </c>
      <c r="B19" s="189">
        <f>Inputs!C$2</f>
        <v>20</v>
      </c>
      <c r="C19" s="151">
        <v>940704</v>
      </c>
      <c r="D19" s="188" t="s">
        <v>5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1513</v>
      </c>
      <c r="J19" s="189">
        <f t="shared" si="2"/>
        <v>203</v>
      </c>
      <c r="K19" s="151">
        <v>1716</v>
      </c>
      <c r="L19" s="211">
        <f t="shared" si="1"/>
        <v>25.216666666666665</v>
      </c>
      <c r="M19" s="151">
        <v>129113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49.464285714285715</v>
      </c>
    </row>
    <row r="20" spans="1:16" x14ac:dyDescent="0.35">
      <c r="A20" s="148">
        <v>14</v>
      </c>
      <c r="B20" s="189">
        <f>Inputs!C$2</f>
        <v>20</v>
      </c>
      <c r="C20" s="151">
        <v>940705</v>
      </c>
      <c r="D20" s="188" t="s">
        <v>5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1531</v>
      </c>
      <c r="J20" s="189">
        <f t="shared" si="2"/>
        <v>203</v>
      </c>
      <c r="K20" s="151">
        <v>1734</v>
      </c>
      <c r="L20" s="211">
        <f t="shared" si="1"/>
        <v>25.516666666666666</v>
      </c>
      <c r="M20" s="151">
        <v>129113</v>
      </c>
      <c r="N20" s="152" t="s">
        <v>238</v>
      </c>
      <c r="O20" s="157" t="s">
        <v>237</v>
      </c>
      <c r="P20" s="187">
        <f>IF(D20=Inputs!F$2,Inputs!I$2,IF(D20=Inputs!F$3,Inputs!I$3,IF(D20=Inputs!F$4,Inputs!I$4,IF(D20=Inputs!F$5,Inputs!I$5,"NA"))))</f>
        <v>49.464285714285715</v>
      </c>
    </row>
    <row r="21" spans="1:16" x14ac:dyDescent="0.35">
      <c r="A21" s="148">
        <v>15</v>
      </c>
      <c r="B21" s="189">
        <f>Inputs!C$2</f>
        <v>20</v>
      </c>
      <c r="C21" s="151">
        <v>940706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1479</v>
      </c>
      <c r="J21" s="189">
        <f t="shared" si="2"/>
        <v>203</v>
      </c>
      <c r="K21" s="151">
        <v>1682</v>
      </c>
      <c r="L21" s="211">
        <f t="shared" si="1"/>
        <v>24.65</v>
      </c>
      <c r="M21" s="151">
        <v>129113</v>
      </c>
      <c r="N21" s="152" t="s">
        <v>238</v>
      </c>
      <c r="O21" s="157" t="s">
        <v>237</v>
      </c>
      <c r="P21" s="187">
        <f>IF(D21=Inputs!F$2,Inputs!I$2,IF(D21=Inputs!F$3,Inputs!I$3,IF(D21=Inputs!F$4,Inputs!I$4,IF(D21=Inputs!F$5,Inputs!I$5,"NA"))))</f>
        <v>31.892857142857142</v>
      </c>
    </row>
    <row r="22" spans="1:16" x14ac:dyDescent="0.35">
      <c r="A22" s="148">
        <v>16</v>
      </c>
      <c r="B22" s="189">
        <f>Inputs!C$2</f>
        <v>20</v>
      </c>
      <c r="C22" s="151">
        <v>940707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1531</v>
      </c>
      <c r="J22" s="189">
        <f t="shared" si="2"/>
        <v>203</v>
      </c>
      <c r="K22" s="235">
        <v>1734</v>
      </c>
      <c r="L22" s="211">
        <f t="shared" si="1"/>
        <v>25.516666666666666</v>
      </c>
      <c r="M22" s="151">
        <v>129113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75.892857142857139</v>
      </c>
    </row>
    <row r="23" spans="1:16" x14ac:dyDescent="0.35">
      <c r="A23" s="148">
        <v>17</v>
      </c>
      <c r="B23" s="189">
        <f>Inputs!C$2</f>
        <v>20</v>
      </c>
      <c r="C23" s="151">
        <v>940708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1513</v>
      </c>
      <c r="J23" s="189">
        <f t="shared" si="2"/>
        <v>203</v>
      </c>
      <c r="K23" s="151">
        <v>1716</v>
      </c>
      <c r="L23" s="211">
        <f t="shared" si="1"/>
        <v>25.216666666666665</v>
      </c>
      <c r="M23" s="151">
        <v>129113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75.892857142857139</v>
      </c>
    </row>
    <row r="24" spans="1:16" x14ac:dyDescent="0.35">
      <c r="A24" s="148">
        <v>18</v>
      </c>
      <c r="B24" s="189">
        <f>Inputs!C$2</f>
        <v>20</v>
      </c>
      <c r="C24" s="151">
        <v>940709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1503</v>
      </c>
      <c r="J24" s="189">
        <f t="shared" si="2"/>
        <v>203</v>
      </c>
      <c r="K24" s="151">
        <v>1706</v>
      </c>
      <c r="L24" s="211">
        <f t="shared" si="1"/>
        <v>25.05</v>
      </c>
      <c r="M24" s="151">
        <v>129113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75.892857142857139</v>
      </c>
    </row>
    <row r="25" spans="1:16" x14ac:dyDescent="0.35">
      <c r="A25" s="148">
        <v>19</v>
      </c>
      <c r="B25" s="189">
        <f>Inputs!C$2</f>
        <v>20</v>
      </c>
      <c r="C25" s="151">
        <v>940710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1531</v>
      </c>
      <c r="J25" s="189">
        <f t="shared" si="2"/>
        <v>203</v>
      </c>
      <c r="K25" s="151">
        <v>1734</v>
      </c>
      <c r="L25" s="211">
        <f t="shared" si="1"/>
        <v>25.516666666666666</v>
      </c>
      <c r="M25" s="151">
        <v>129113</v>
      </c>
      <c r="N25" s="152" t="s">
        <v>238</v>
      </c>
      <c r="O25" s="157" t="s">
        <v>237</v>
      </c>
      <c r="P25" s="187">
        <f>IF(D25=Inputs!F$2,Inputs!I$2,IF(D25=Inputs!F$3,Inputs!I$3,IF(D25=Inputs!F$4,Inputs!I$4,IF(D25=Inputs!F$5,Inputs!I$5,"NA"))))</f>
        <v>75.892857142857139</v>
      </c>
    </row>
    <row r="26" spans="1:16" x14ac:dyDescent="0.35">
      <c r="A26" s="148">
        <v>20</v>
      </c>
      <c r="B26" s="189">
        <f>Inputs!C$2</f>
        <v>20</v>
      </c>
      <c r="C26" s="151">
        <v>940711</v>
      </c>
      <c r="D26" s="188" t="s">
        <v>183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1513</v>
      </c>
      <c r="J26" s="189">
        <f t="shared" si="2"/>
        <v>203</v>
      </c>
      <c r="K26" s="151">
        <v>1716</v>
      </c>
      <c r="L26" s="211">
        <f t="shared" si="1"/>
        <v>25.216666666666665</v>
      </c>
      <c r="M26" s="151">
        <v>129113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75.892857142857139</v>
      </c>
    </row>
    <row r="27" spans="1:16" x14ac:dyDescent="0.35">
      <c r="A27" s="148">
        <v>21</v>
      </c>
      <c r="B27" s="189">
        <f>Inputs!C$2</f>
        <v>20</v>
      </c>
      <c r="C27" s="151">
        <v>940712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1549</v>
      </c>
      <c r="J27" s="189">
        <f t="shared" si="2"/>
        <v>203</v>
      </c>
      <c r="K27" s="151">
        <v>1752</v>
      </c>
      <c r="L27" s="211">
        <f t="shared" si="1"/>
        <v>25.816666666666666</v>
      </c>
      <c r="M27" s="151">
        <v>129113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75.892857142857139</v>
      </c>
    </row>
    <row r="28" spans="1:16" x14ac:dyDescent="0.35">
      <c r="A28" s="148">
        <v>22</v>
      </c>
      <c r="B28" s="189">
        <f>Inputs!C$2</f>
        <v>20</v>
      </c>
      <c r="C28" s="151">
        <v>940713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1539</v>
      </c>
      <c r="J28" s="189">
        <f t="shared" si="2"/>
        <v>203</v>
      </c>
      <c r="K28" s="151">
        <v>1742</v>
      </c>
      <c r="L28" s="211">
        <f t="shared" si="1"/>
        <v>25.65</v>
      </c>
      <c r="M28" s="151">
        <v>129113</v>
      </c>
      <c r="N28" s="152" t="s">
        <v>238</v>
      </c>
      <c r="O28" s="157" t="s">
        <v>237</v>
      </c>
      <c r="P28" s="187">
        <f>IF(D28=Inputs!F$2,Inputs!I$2,IF(D28=Inputs!F$3,Inputs!I$3,IF(D28=Inputs!F$4,Inputs!I$4,IF(D28=Inputs!F$5,Inputs!I$5,"NA"))))</f>
        <v>75.892857142857139</v>
      </c>
    </row>
    <row r="29" spans="1:16" x14ac:dyDescent="0.35">
      <c r="A29" s="148">
        <v>23</v>
      </c>
      <c r="B29" s="189">
        <f>Inputs!C$2</f>
        <v>20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35">
      <c r="A30" s="148">
        <v>24</v>
      </c>
      <c r="B30" s="189">
        <f>Inputs!C$2</f>
        <v>20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35">
      <c r="A31" s="148">
        <v>25</v>
      </c>
      <c r="B31" s="189">
        <f>Inputs!C$2</f>
        <v>20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35">
      <c r="A32" s="148">
        <v>26</v>
      </c>
      <c r="B32" s="189">
        <f>Inputs!C$2</f>
        <v>20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35">
      <c r="A33" s="148">
        <v>27</v>
      </c>
      <c r="B33" s="189">
        <f>Inputs!C$2</f>
        <v>20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35">
      <c r="A34" s="148">
        <v>28</v>
      </c>
      <c r="B34" s="189">
        <f>Inputs!C$2</f>
        <v>20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35">
      <c r="A35" s="148">
        <v>29</v>
      </c>
      <c r="B35" s="189">
        <f>Inputs!C$2</f>
        <v>20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35">
      <c r="A36" s="148">
        <v>30</v>
      </c>
      <c r="B36" s="189">
        <f>Inputs!C$2</f>
        <v>20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35">
      <c r="A37" s="148">
        <v>31</v>
      </c>
      <c r="B37" s="189">
        <f>Inputs!C$2</f>
        <v>20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35">
      <c r="A38" s="148">
        <v>32</v>
      </c>
      <c r="B38" s="189">
        <f>Inputs!C$2</f>
        <v>20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35">
      <c r="A39" s="148">
        <v>33</v>
      </c>
      <c r="B39" s="189">
        <f>Inputs!C$2</f>
        <v>20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35">
      <c r="A40" s="148">
        <v>34</v>
      </c>
      <c r="B40" s="189">
        <f>Inputs!C$2</f>
        <v>20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35">
      <c r="A41" s="148">
        <v>35</v>
      </c>
      <c r="B41" s="189">
        <f>Inputs!C$2</f>
        <v>20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35">
      <c r="A42" s="148">
        <v>36</v>
      </c>
      <c r="B42" s="189">
        <f>Inputs!C$2</f>
        <v>20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35">
      <c r="A43" s="148">
        <v>37</v>
      </c>
      <c r="B43" s="189">
        <f>Inputs!C$2</f>
        <v>20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35">
      <c r="A44" s="148">
        <v>38</v>
      </c>
      <c r="B44" s="189">
        <f>Inputs!C$2</f>
        <v>20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35">
      <c r="A45" s="148">
        <v>39</v>
      </c>
      <c r="B45" s="189">
        <f>Inputs!C$2</f>
        <v>20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35">
      <c r="A46" s="148">
        <v>40</v>
      </c>
      <c r="B46" s="189">
        <f>Inputs!C$2</f>
        <v>20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35">
      <c r="A47" s="148">
        <v>41</v>
      </c>
      <c r="B47" s="189">
        <f>Inputs!C$2</f>
        <v>20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35">
      <c r="A48" s="148">
        <v>42</v>
      </c>
      <c r="B48" s="189">
        <f>Inputs!C$2</f>
        <v>20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35">
      <c r="A49" s="148">
        <v>43</v>
      </c>
      <c r="B49" s="189">
        <f>Inputs!C$2</f>
        <v>20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35">
      <c r="A50" s="148">
        <v>44</v>
      </c>
      <c r="B50" s="189">
        <f>Inputs!C$2</f>
        <v>20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35">
      <c r="A51" s="148">
        <v>45</v>
      </c>
      <c r="B51" s="189">
        <f>Inputs!C$2</f>
        <v>20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35">
      <c r="A52" s="148">
        <v>46</v>
      </c>
      <c r="B52" s="189">
        <f>Inputs!C$2</f>
        <v>20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35">
      <c r="A53" s="148">
        <v>47</v>
      </c>
      <c r="B53" s="189">
        <f>Inputs!C$2</f>
        <v>20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35">
      <c r="A54" s="148">
        <v>48</v>
      </c>
      <c r="B54" s="189">
        <f>Inputs!C$2</f>
        <v>20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35">
      <c r="A55" s="148">
        <v>49</v>
      </c>
      <c r="B55" s="189">
        <f>Inputs!C$2</f>
        <v>20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35">
      <c r="A56" s="148">
        <v>50</v>
      </c>
      <c r="B56" s="189">
        <f>Inputs!C$2</f>
        <v>20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35">
      <c r="A57" s="148">
        <v>51</v>
      </c>
      <c r="B57" s="189">
        <f>Inputs!C$2</f>
        <v>20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35">
      <c r="A58" s="148">
        <v>52</v>
      </c>
      <c r="B58" s="189">
        <f>Inputs!C$2</f>
        <v>20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35">
      <c r="A59" s="148">
        <v>53</v>
      </c>
      <c r="B59" s="189">
        <f>Inputs!C$2</f>
        <v>20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35">
      <c r="A60" s="148">
        <v>54</v>
      </c>
      <c r="B60" s="189">
        <f>Inputs!C$2</f>
        <v>20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35">
      <c r="A61" s="148">
        <v>55</v>
      </c>
      <c r="B61" s="189">
        <f>Inputs!C$2</f>
        <v>20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35">
      <c r="A62" s="148">
        <v>56</v>
      </c>
      <c r="B62" s="189">
        <f>Inputs!C$2</f>
        <v>20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35">
      <c r="A63" s="148">
        <v>57</v>
      </c>
      <c r="B63" s="189">
        <f>Inputs!C$2</f>
        <v>20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35">
      <c r="A64" s="148">
        <v>58</v>
      </c>
      <c r="B64" s="189">
        <f>Inputs!C$2</f>
        <v>20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35">
      <c r="A65" s="148">
        <v>59</v>
      </c>
      <c r="B65" s="189">
        <f>Inputs!C$2</f>
        <v>20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35">
      <c r="A66" s="148">
        <v>60</v>
      </c>
      <c r="B66" s="189">
        <f>Inputs!C$2</f>
        <v>20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35">
      <c r="A67" s="148">
        <v>61</v>
      </c>
      <c r="B67" s="189">
        <f>Inputs!C$2</f>
        <v>20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35">
      <c r="A68" s="148">
        <v>62</v>
      </c>
      <c r="B68" s="189">
        <f>Inputs!C$2</f>
        <v>20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35">
      <c r="A69" s="148">
        <v>63</v>
      </c>
      <c r="B69" s="189">
        <f>Inputs!C$2</f>
        <v>20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35">
      <c r="A70" s="148">
        <v>64</v>
      </c>
      <c r="B70" s="189">
        <f>Inputs!C$2</f>
        <v>20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35">
      <c r="A71" s="148">
        <v>65</v>
      </c>
      <c r="B71" s="189">
        <f>Inputs!C$2</f>
        <v>20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35">
      <c r="A72" s="148">
        <v>66</v>
      </c>
      <c r="B72" s="189">
        <f>Inputs!C$2</f>
        <v>20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35">
      <c r="A73" s="148">
        <v>67</v>
      </c>
      <c r="B73" s="189">
        <f>Inputs!C$2</f>
        <v>20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35">
      <c r="A74" s="148">
        <v>68</v>
      </c>
      <c r="B74" s="189">
        <f>Inputs!C$2</f>
        <v>20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35">
      <c r="A75" s="148">
        <v>69</v>
      </c>
      <c r="B75" s="189">
        <f>Inputs!C$2</f>
        <v>20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35">
      <c r="A76" s="148">
        <v>70</v>
      </c>
      <c r="B76" s="189">
        <f>Inputs!C$2</f>
        <v>20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35">
      <c r="A77" s="148">
        <v>71</v>
      </c>
      <c r="B77" s="189">
        <f>Inputs!C$2</f>
        <v>20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35">
      <c r="A78" s="148">
        <v>72</v>
      </c>
      <c r="B78" s="189">
        <f>Inputs!C$2</f>
        <v>20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35">
      <c r="A79" s="148">
        <v>73</v>
      </c>
      <c r="B79" s="189">
        <f>Inputs!C$2</f>
        <v>20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35">
      <c r="A80" s="148">
        <v>74</v>
      </c>
      <c r="B80" s="189">
        <f>Inputs!C$2</f>
        <v>20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35">
      <c r="A81" s="148">
        <v>75</v>
      </c>
      <c r="B81" s="189">
        <f>Inputs!C$2</f>
        <v>20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35">
      <c r="A82" s="148">
        <v>76</v>
      </c>
      <c r="B82" s="189">
        <f>Inputs!C$2</f>
        <v>20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21" sqref="J21"/>
    </sheetView>
  </sheetViews>
  <sheetFormatPr defaultRowHeight="12.5" x14ac:dyDescent="0.25"/>
  <cols>
    <col min="1" max="1" width="10.453125" customWidth="1"/>
    <col min="2" max="2" width="8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" customWidth="1"/>
    <col min="9" max="9" width="7.453125" customWidth="1"/>
    <col min="10" max="11" width="7.1796875" customWidth="1"/>
    <col min="12" max="12" width="7" customWidth="1"/>
  </cols>
  <sheetData>
    <row r="1" spans="1:12" x14ac:dyDescent="0.25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5">
      <c r="B2" s="24" t="s">
        <v>101</v>
      </c>
      <c r="C2" s="168">
        <v>20</v>
      </c>
      <c r="F2" s="166" t="s">
        <v>183</v>
      </c>
      <c r="G2" s="186">
        <v>45264</v>
      </c>
      <c r="I2" s="205">
        <f>(C$3-G2)/7</f>
        <v>75.892857142857139</v>
      </c>
      <c r="J2" s="230">
        <f>I2-19</f>
        <v>56.892857142857139</v>
      </c>
      <c r="K2" s="166" t="s">
        <v>220</v>
      </c>
      <c r="L2">
        <v>203</v>
      </c>
    </row>
    <row r="3" spans="1:12" x14ac:dyDescent="0.25">
      <c r="B3" s="170" t="s">
        <v>210</v>
      </c>
      <c r="C3" s="246">
        <f>C2*7+(C1-1900)*365.25-1</f>
        <v>45795.25</v>
      </c>
      <c r="D3" s="247"/>
      <c r="F3" s="166" t="s">
        <v>7</v>
      </c>
      <c r="G3" s="186">
        <v>45390</v>
      </c>
      <c r="I3" s="205">
        <f>(C$3-G3)/7</f>
        <v>57.892857142857146</v>
      </c>
      <c r="J3" s="230">
        <f>I3-19</f>
        <v>38.892857142857146</v>
      </c>
      <c r="K3" s="166" t="s">
        <v>221</v>
      </c>
      <c r="L3">
        <v>192</v>
      </c>
    </row>
    <row r="4" spans="1:12" x14ac:dyDescent="0.25">
      <c r="F4" s="166" t="s">
        <v>181</v>
      </c>
      <c r="G4" s="186">
        <v>45572</v>
      </c>
      <c r="I4" s="205">
        <f>(C$3-G4)/7</f>
        <v>31.892857142857142</v>
      </c>
      <c r="J4" s="230">
        <f>I4-19</f>
        <v>12.892857142857142</v>
      </c>
    </row>
    <row r="5" spans="1:12" x14ac:dyDescent="0.25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49.464285714285715</v>
      </c>
      <c r="J5" s="230">
        <f>I5-19</f>
        <v>30.464285714285715</v>
      </c>
    </row>
    <row r="6" spans="1:12" ht="6.75" customHeight="1" x14ac:dyDescent="0.25"/>
    <row r="7" spans="1:12" ht="13" x14ac:dyDescent="0.3">
      <c r="A7" s="169" t="s">
        <v>196</v>
      </c>
    </row>
    <row r="8" spans="1:12" ht="13" x14ac:dyDescent="0.3">
      <c r="A8" s="167" t="s">
        <v>189</v>
      </c>
      <c r="E8" s="167" t="s">
        <v>190</v>
      </c>
    </row>
    <row r="9" spans="1:12" x14ac:dyDescent="0.25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5">
      <c r="A10" s="139">
        <v>3</v>
      </c>
      <c r="B10" s="237">
        <v>95</v>
      </c>
      <c r="C10" s="168">
        <v>10</v>
      </c>
      <c r="E10" s="139">
        <v>3</v>
      </c>
      <c r="F10" s="168">
        <v>107</v>
      </c>
      <c r="G10" s="168">
        <v>13</v>
      </c>
    </row>
    <row r="11" spans="1:12" x14ac:dyDescent="0.25">
      <c r="A11" s="139">
        <v>6</v>
      </c>
      <c r="B11" s="168">
        <v>207</v>
      </c>
      <c r="C11" s="165"/>
      <c r="E11" s="139">
        <v>6</v>
      </c>
      <c r="F11" s="168">
        <v>216</v>
      </c>
      <c r="G11" s="165"/>
    </row>
    <row r="12" spans="1:12" x14ac:dyDescent="0.25">
      <c r="A12" s="139">
        <v>7</v>
      </c>
      <c r="B12" s="168">
        <v>196</v>
      </c>
      <c r="C12" s="168">
        <v>22</v>
      </c>
      <c r="E12" s="139">
        <v>7</v>
      </c>
      <c r="F12" s="168">
        <v>202</v>
      </c>
      <c r="G12" s="168">
        <v>22</v>
      </c>
    </row>
    <row r="13" spans="1:12" x14ac:dyDescent="0.25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ht="13" x14ac:dyDescent="0.3">
      <c r="A14" s="167" t="s">
        <v>191</v>
      </c>
      <c r="E14" s="167" t="s">
        <v>192</v>
      </c>
    </row>
    <row r="15" spans="1:12" x14ac:dyDescent="0.25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5">
      <c r="A16" s="139">
        <v>3</v>
      </c>
      <c r="B16" s="168">
        <v>110</v>
      </c>
      <c r="C16" s="168">
        <v>11</v>
      </c>
      <c r="E16" s="139">
        <v>3</v>
      </c>
      <c r="F16" s="168">
        <v>104</v>
      </c>
      <c r="G16" s="168">
        <v>11</v>
      </c>
    </row>
    <row r="17" spans="1:11" x14ac:dyDescent="0.25">
      <c r="A17" s="139">
        <v>6</v>
      </c>
      <c r="B17" s="168">
        <v>226</v>
      </c>
      <c r="C17" s="165"/>
      <c r="E17" s="139">
        <v>6</v>
      </c>
      <c r="F17" s="168">
        <v>216</v>
      </c>
      <c r="G17" s="165"/>
    </row>
    <row r="18" spans="1:11" x14ac:dyDescent="0.25">
      <c r="A18" s="139">
        <v>7</v>
      </c>
      <c r="B18" s="168">
        <v>202</v>
      </c>
      <c r="C18" s="168">
        <v>23</v>
      </c>
      <c r="E18" s="139">
        <v>7</v>
      </c>
      <c r="F18" s="168">
        <v>202</v>
      </c>
      <c r="G18" s="168">
        <v>22</v>
      </c>
    </row>
    <row r="19" spans="1:11" x14ac:dyDescent="0.25">
      <c r="A19" s="139">
        <v>11</v>
      </c>
      <c r="B19" s="168">
        <v>117</v>
      </c>
      <c r="C19" s="165"/>
      <c r="E19" s="139">
        <v>11</v>
      </c>
      <c r="F19" s="168">
        <v>110</v>
      </c>
      <c r="G19" s="165"/>
    </row>
    <row r="21" spans="1:11" ht="13" x14ac:dyDescent="0.3">
      <c r="A21" s="167" t="s">
        <v>193</v>
      </c>
      <c r="E21" s="167" t="s">
        <v>194</v>
      </c>
    </row>
    <row r="22" spans="1:11" x14ac:dyDescent="0.25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5">
      <c r="A23" s="139">
        <v>3</v>
      </c>
      <c r="B23" s="168">
        <v>105</v>
      </c>
      <c r="C23" s="168">
        <v>11</v>
      </c>
      <c r="E23" s="139">
        <v>3</v>
      </c>
      <c r="F23" s="168">
        <v>105</v>
      </c>
      <c r="G23" s="168">
        <v>11</v>
      </c>
    </row>
    <row r="24" spans="1:11" x14ac:dyDescent="0.25">
      <c r="A24" s="139">
        <v>6</v>
      </c>
      <c r="B24" s="168">
        <v>216</v>
      </c>
      <c r="C24" s="165"/>
      <c r="E24" s="139">
        <v>6</v>
      </c>
      <c r="F24" s="168">
        <v>216</v>
      </c>
      <c r="G24" s="165"/>
    </row>
    <row r="25" spans="1:11" x14ac:dyDescent="0.25">
      <c r="A25" s="139">
        <v>7</v>
      </c>
      <c r="B25" s="168">
        <v>202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5">
      <c r="A26" s="139">
        <v>11</v>
      </c>
      <c r="B26" s="168">
        <v>111</v>
      </c>
      <c r="C26" s="165"/>
      <c r="E26" s="139">
        <v>11</v>
      </c>
      <c r="F26" s="168">
        <v>108</v>
      </c>
      <c r="G26" s="165"/>
    </row>
    <row r="27" spans="1:11" ht="13" x14ac:dyDescent="0.3">
      <c r="A27" s="167" t="s">
        <v>195</v>
      </c>
      <c r="E27" s="167" t="s">
        <v>197</v>
      </c>
      <c r="I27" s="167" t="s">
        <v>198</v>
      </c>
    </row>
    <row r="28" spans="1:11" x14ac:dyDescent="0.25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5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733</v>
      </c>
      <c r="G29" s="203">
        <f t="shared" si="0"/>
        <v>78</v>
      </c>
      <c r="I29" s="139">
        <v>3</v>
      </c>
      <c r="J29" s="203">
        <f t="shared" ref="J29:K31" si="1">F29*15</f>
        <v>10995</v>
      </c>
      <c r="K29" s="203">
        <f t="shared" si="1"/>
        <v>1170</v>
      </c>
    </row>
    <row r="30" spans="1:11" x14ac:dyDescent="0.25">
      <c r="A30" s="139">
        <v>6</v>
      </c>
      <c r="B30" s="168">
        <v>218</v>
      </c>
      <c r="C30" s="165"/>
      <c r="E30" s="139">
        <v>6</v>
      </c>
      <c r="F30" s="203">
        <f t="shared" si="0"/>
        <v>1515</v>
      </c>
      <c r="G30" s="204">
        <f t="shared" si="0"/>
        <v>0</v>
      </c>
      <c r="I30" s="139">
        <v>6</v>
      </c>
      <c r="J30" s="203">
        <f t="shared" si="1"/>
        <v>22725</v>
      </c>
      <c r="K30" s="204">
        <f t="shared" si="1"/>
        <v>0</v>
      </c>
    </row>
    <row r="31" spans="1:11" x14ac:dyDescent="0.25">
      <c r="A31" s="139">
        <v>7</v>
      </c>
      <c r="B31" s="168">
        <v>204</v>
      </c>
      <c r="C31" s="168">
        <v>22</v>
      </c>
      <c r="E31" s="139">
        <v>7</v>
      </c>
      <c r="F31" s="203">
        <f t="shared" si="0"/>
        <v>1410</v>
      </c>
      <c r="G31" s="203">
        <f t="shared" si="0"/>
        <v>155</v>
      </c>
      <c r="I31" s="139">
        <v>7</v>
      </c>
      <c r="J31" s="203">
        <f t="shared" si="1"/>
        <v>21150</v>
      </c>
      <c r="K31" s="203">
        <f t="shared" si="1"/>
        <v>2325</v>
      </c>
    </row>
    <row r="32" spans="1:11" x14ac:dyDescent="0.25">
      <c r="A32" s="139">
        <v>11</v>
      </c>
      <c r="B32" s="168">
        <v>110</v>
      </c>
      <c r="C32" s="165"/>
      <c r="E32" s="139">
        <v>11</v>
      </c>
      <c r="F32" s="203">
        <f t="shared" si="0"/>
        <v>754</v>
      </c>
      <c r="G32" s="204">
        <f t="shared" si="0"/>
        <v>0</v>
      </c>
      <c r="I32" s="139">
        <v>11</v>
      </c>
      <c r="J32" s="203">
        <f>F32*15</f>
        <v>11310</v>
      </c>
      <c r="K32" s="204">
        <f>G32*180/12</f>
        <v>0</v>
      </c>
    </row>
    <row r="34" spans="1:9" ht="13" x14ac:dyDescent="0.3">
      <c r="A34" s="167" t="s">
        <v>199</v>
      </c>
      <c r="G34" s="167" t="s">
        <v>230</v>
      </c>
    </row>
    <row r="35" spans="1:9" x14ac:dyDescent="0.25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497</v>
      </c>
    </row>
    <row r="36" spans="1:9" x14ac:dyDescent="0.25">
      <c r="A36" s="172" t="s">
        <v>107</v>
      </c>
      <c r="B36" s="201">
        <f>B37+B38</f>
        <v>0.48799999999999999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225</v>
      </c>
      <c r="H36" s="245"/>
      <c r="I36" s="225">
        <v>43</v>
      </c>
    </row>
    <row r="37" spans="1:9" x14ac:dyDescent="0.25">
      <c r="A37" s="172" t="s">
        <v>200</v>
      </c>
      <c r="B37" s="173">
        <v>9.9000000000000005E-2</v>
      </c>
      <c r="C37" s="236">
        <v>3.5000000000000003E-2</v>
      </c>
      <c r="D37" s="173">
        <v>4.0000000000000001E-3</v>
      </c>
      <c r="E37" s="173">
        <v>0.06</v>
      </c>
      <c r="G37" s="245" t="s">
        <v>226</v>
      </c>
      <c r="H37" s="245"/>
      <c r="I37" s="225">
        <v>180</v>
      </c>
    </row>
    <row r="38" spans="1:9" x14ac:dyDescent="0.25">
      <c r="A38" s="172" t="s">
        <v>201</v>
      </c>
      <c r="B38" s="173">
        <v>0.38900000000000001</v>
      </c>
      <c r="C38" s="173">
        <v>0.32</v>
      </c>
      <c r="D38" s="173">
        <v>6.3E-2</v>
      </c>
      <c r="E38" s="173">
        <v>0.37</v>
      </c>
      <c r="G38" s="245" t="s">
        <v>227</v>
      </c>
      <c r="H38" s="245"/>
      <c r="I38" s="225">
        <v>268</v>
      </c>
    </row>
    <row r="39" spans="1:9" x14ac:dyDescent="0.25">
      <c r="A39" s="172" t="s">
        <v>202</v>
      </c>
      <c r="B39" s="173">
        <v>0.47799999999999998</v>
      </c>
      <c r="C39" s="173">
        <v>0.59299999999999997</v>
      </c>
      <c r="D39" s="173">
        <v>0.73</v>
      </c>
      <c r="E39" s="173">
        <v>0.52100000000000002</v>
      </c>
      <c r="G39" s="245" t="s">
        <v>228</v>
      </c>
      <c r="H39" s="245"/>
      <c r="I39" s="225">
        <v>32</v>
      </c>
    </row>
    <row r="40" spans="1:9" x14ac:dyDescent="0.25">
      <c r="A40" s="172" t="s">
        <v>203</v>
      </c>
      <c r="B40" s="173">
        <v>2.5000000000000001E-2</v>
      </c>
      <c r="C40" s="173">
        <v>4.4999999999999998E-2</v>
      </c>
      <c r="D40" s="173">
        <v>0.19400000000000001</v>
      </c>
      <c r="E40" s="173">
        <v>0.04</v>
      </c>
      <c r="G40" s="245" t="s">
        <v>229</v>
      </c>
      <c r="H40" s="245"/>
      <c r="I40" s="225">
        <v>300</v>
      </c>
    </row>
    <row r="41" spans="1:9" x14ac:dyDescent="0.25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5" t="s">
        <v>231</v>
      </c>
      <c r="H41" s="245"/>
      <c r="I41" s="225">
        <v>0</v>
      </c>
    </row>
    <row r="42" spans="1:9" x14ac:dyDescent="0.25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5">
      <c r="A43" s="233" t="s">
        <v>214</v>
      </c>
      <c r="B43" s="202">
        <f>SUM(B47:B50)</f>
        <v>9.0000000000000011E-3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</row>
    <row r="44" spans="1:9" x14ac:dyDescent="0.25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5">
      <c r="A45" s="233" t="s">
        <v>234</v>
      </c>
      <c r="B45" s="231">
        <f>J29+K29</f>
        <v>12165</v>
      </c>
      <c r="C45" s="231">
        <f>J30</f>
        <v>22725</v>
      </c>
      <c r="D45" s="231">
        <f>J31</f>
        <v>21150</v>
      </c>
      <c r="E45" s="231">
        <f>J32</f>
        <v>11310</v>
      </c>
    </row>
    <row r="46" spans="1:9" x14ac:dyDescent="0.25">
      <c r="A46" s="233" t="s">
        <v>233</v>
      </c>
      <c r="B46" s="232"/>
      <c r="C46" s="232"/>
      <c r="D46" s="232"/>
      <c r="E46" s="232"/>
    </row>
    <row r="47" spans="1:9" x14ac:dyDescent="0.25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5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5">
      <c r="A49" s="172" t="s">
        <v>206</v>
      </c>
      <c r="B49" s="173">
        <v>2E-3</v>
      </c>
      <c r="C49" s="173">
        <v>2E-3</v>
      </c>
      <c r="D49" s="173">
        <v>1E-3</v>
      </c>
      <c r="E49" s="173">
        <v>2E-3</v>
      </c>
    </row>
    <row r="50" spans="1:5" x14ac:dyDescent="0.25">
      <c r="A50" s="172" t="s">
        <v>207</v>
      </c>
      <c r="B50" s="173">
        <v>4.0000000000000001E-3</v>
      </c>
      <c r="C50" s="173">
        <v>2E-3</v>
      </c>
      <c r="D50" s="173">
        <v>2E-3</v>
      </c>
      <c r="E50" s="173">
        <v>4.0000000000000001E-3</v>
      </c>
    </row>
    <row r="51" spans="1:5" x14ac:dyDescent="0.25">
      <c r="A51" s="166"/>
      <c r="B51" s="234"/>
      <c r="C51" s="234"/>
      <c r="D51" s="234"/>
      <c r="E51" s="234"/>
    </row>
    <row r="52" spans="1:5" x14ac:dyDescent="0.25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181</v>
      </c>
      <c r="B2" s="3" t="s">
        <v>182</v>
      </c>
    </row>
    <row r="3" spans="1:2" x14ac:dyDescent="0.25">
      <c r="A3" s="4" t="s">
        <v>5</v>
      </c>
      <c r="B3" s="3" t="s">
        <v>6</v>
      </c>
    </row>
    <row r="4" spans="1:2" x14ac:dyDescent="0.25">
      <c r="A4" s="2" t="s">
        <v>183</v>
      </c>
      <c r="B4" s="3" t="s">
        <v>3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9</v>
      </c>
    </row>
    <row r="8" spans="1:2" ht="13" x14ac:dyDescent="0.3">
      <c r="A8" s="1" t="s">
        <v>10</v>
      </c>
    </row>
    <row r="9" spans="1:2" x14ac:dyDescent="0.25">
      <c r="A9" s="2" t="s">
        <v>11</v>
      </c>
    </row>
    <row r="10" spans="1:2" x14ac:dyDescent="0.25">
      <c r="A10" s="2" t="s">
        <v>12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5" spans="1:2" ht="13" x14ac:dyDescent="0.3">
      <c r="A15" s="224" t="s">
        <v>15</v>
      </c>
    </row>
    <row r="16" spans="1:2" x14ac:dyDescent="0.25">
      <c r="A16" s="190" t="s">
        <v>220</v>
      </c>
      <c r="B16" s="3" t="s">
        <v>16</v>
      </c>
    </row>
    <row r="17" spans="1:2" x14ac:dyDescent="0.25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2024-06-17T13:10:15Z</cp:lastPrinted>
  <dcterms:created xsi:type="dcterms:W3CDTF">2019-08-23T14:41:05Z</dcterms:created>
  <dcterms:modified xsi:type="dcterms:W3CDTF">2025-07-07T11:10:46Z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