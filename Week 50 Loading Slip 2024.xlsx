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5AF13F32-1E16-48C9-B6F6-D8C05D38FAE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A38" i="8" l="1"/>
  <c r="A39" i="8"/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A44" i="8"/>
  <c r="A42" i="8"/>
  <c r="G9" i="8"/>
  <c r="G7" i="8"/>
  <c r="G5" i="8"/>
  <c r="G4" i="8"/>
  <c r="A11" i="8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4" i="9"/>
  <c r="K63" i="9"/>
  <c r="K62" i="9"/>
  <c r="K66" i="9"/>
  <c r="K94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<sst xmlns="http://schemas.openxmlformats.org/spreadsheetml/2006/main" count="1135" uniqueCount="192">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</sst>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2" sqref="L4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45635</v>
      </c>
      <c r="E1" s="96"/>
      <c r="F1" s="96"/>
      <c r="H1" s="63" t="s">
        <v>144</v>
      </c>
      <c r="I1" s="64">
        <f>D1+42-1</f>
        <v>45676</v>
      </c>
      <c r="L1" s="19" t="s">
        <v>38</v>
      </c>
    </row>
    <row r="2" spans="1:12" ht="15.75" x14ac:dyDescent="0.25">
      <c r="B2" s="41" t="s">
        <v>106</v>
      </c>
      <c r="C2" s="50">
        <v>50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15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7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45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4872393358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4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22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2280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40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45635</v>
      </c>
      <c r="E34" s="96"/>
      <c r="F34" s="96"/>
      <c r="H34" s="63" t="s">
        <v>144</v>
      </c>
      <c r="I34" s="67">
        <f>I1</f>
        <v>45676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5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23</v>
      </c>
      <c r="F38" s="2" t="s">
        <v>20</v>
      </c>
      <c r="H38" s="39">
        <v>27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23</v>
      </c>
      <c r="F42" s="2" t="s">
        <v>22</v>
      </c>
      <c r="H42" s="39">
        <v>32</v>
      </c>
      <c r="I42" s="2" t="s">
        <v>22</v>
      </c>
    </row>
    <row r="43" spans="1:12" x14ac:dyDescent="0.25">
      <c r="A43">
        <f>ROUNDDOWN(B43/24,0)</f>
        <v>0</v>
      </c>
      <c r="B43" s="39">
        <v>12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23</v>
      </c>
      <c r="F46" s="16" t="s">
        <v>28</v>
      </c>
      <c r="H46" s="39">
        <v>32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75</v>
      </c>
      <c r="F47" s="2" t="s">
        <v>35</v>
      </c>
      <c r="H47" s="39">
        <f>SUM(H37:H46)</f>
        <v>101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153</v>
      </c>
      <c r="E49" s="2" t="s">
        <v>36</v>
      </c>
      <c r="F49" s="16">
        <v>1828</v>
      </c>
      <c r="H49" s="2" t="s">
        <v>36</v>
      </c>
      <c r="I49" s="16">
        <v>1947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6</v>
      </c>
      <c r="L53" t="s">
        <v>51</v>
      </c>
    </row>
    <row r="54" spans="2:12" x14ac:dyDescent="0.25">
      <c r="B54" s="39">
        <f>SUM(B37:B53)</f>
        <v>47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17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2</v>
      </c>
      <c r="I55" s="2" t="s">
        <v>33</v>
      </c>
      <c r="K55" s="39">
        <f>SUM(K53:K54)</f>
        <v>10</v>
      </c>
      <c r="L55" s="2" t="s">
        <v>35</v>
      </c>
    </row>
    <row r="56" spans="2:12" x14ac:dyDescent="0.25">
      <c r="C56" s="4"/>
      <c r="E56" s="39">
        <f>SUM(E53:E55)</f>
        <v>27</v>
      </c>
      <c r="F56" s="2" t="s">
        <v>35</v>
      </c>
      <c r="G56">
        <f>ROUNDDOWN(H56/13,0)</f>
        <v>2</v>
      </c>
      <c r="H56" s="39">
        <v>29</v>
      </c>
      <c r="I56" s="2" t="s">
        <v>104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63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4872380147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255</v>
      </c>
      <c r="E70" s="15">
        <f t="shared" ref="E70:E79" si="0">H5+E37+H37</f>
        <v>17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20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885</v>
      </c>
      <c r="E71" s="14">
        <f t="shared" si="0"/>
        <v>59</v>
      </c>
      <c r="F71" s="2" t="s">
        <v>20</v>
      </c>
      <c r="H71" s="14">
        <f>E6+E16+E59+H54+E53</f>
        <v>110</v>
      </c>
      <c r="I71" s="2" t="s">
        <v>46</v>
      </c>
      <c r="K71" s="13">
        <f>B11+E10+B31+B43+H58</f>
        <v>42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39</v>
      </c>
      <c r="I73" s="2" t="s">
        <v>104</v>
      </c>
      <c r="K73" s="47">
        <f>K53</f>
        <v>6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610</v>
      </c>
      <c r="E75" s="14">
        <f t="shared" si="0"/>
        <v>61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472</v>
      </c>
      <c r="E79" s="14">
        <f t="shared" si="0"/>
        <v>59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312</v>
      </c>
      <c r="H91" s="21">
        <f>H73</f>
        <v>39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7" sqref="L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45636</v>
      </c>
      <c r="E1" s="95"/>
      <c r="F1" s="95"/>
      <c r="H1" s="63" t="s">
        <v>144</v>
      </c>
      <c r="I1" s="64">
        <f>Mon!D1+42-1</f>
        <v>45676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6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4</v>
      </c>
      <c r="C9" s="2" t="s">
        <v>9</v>
      </c>
      <c r="E9" s="39">
        <v>10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11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71</v>
      </c>
      <c r="C21" s="2" t="s">
        <v>35</v>
      </c>
      <c r="E21" s="39">
        <f>SUM(E4:E20)</f>
        <v>56</v>
      </c>
      <c r="F21" s="2" t="s">
        <v>35</v>
      </c>
      <c r="H21" s="39">
        <f>SUM(H4:H20)</f>
        <v>56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10</v>
      </c>
      <c r="F27" s="2" t="s">
        <v>104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48</v>
      </c>
      <c r="C30" s="2" t="s">
        <v>35</v>
      </c>
      <c r="E30" s="39">
        <f>SUM(E24:E29)</f>
        <v>28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43</v>
      </c>
      <c r="L31" s="89" t="s">
        <v>44</v>
      </c>
    </row>
    <row r="32" spans="1:18" ht="12.4" customHeight="1" x14ac:dyDescent="0.25">
      <c r="B32" s="2" t="s">
        <v>36</v>
      </c>
      <c r="C32" s="16">
        <v>4872457824</v>
      </c>
      <c r="E32" s="2" t="s">
        <v>36</v>
      </c>
      <c r="F32" s="16">
        <v>4872461409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25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30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39</v>
      </c>
      <c r="I44" s="2" t="s">
        <v>46</v>
      </c>
      <c r="K44" s="13">
        <f>B10+B29+H10+K10+E10+E29+B37</f>
        <v>33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6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24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111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80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60</v>
      </c>
      <c r="H60" s="29">
        <f>K45</f>
        <v>6</v>
      </c>
      <c r="I60" s="2" t="s">
        <v>8</v>
      </c>
      <c r="K60" s="13">
        <f>A8+D8+G8</f>
        <v>5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555</v>
      </c>
      <c r="H63" s="21">
        <f>B47</f>
        <v>111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192</v>
      </c>
      <c r="H64" s="21">
        <f>H46</f>
        <v>24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6" sqref="D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45637</v>
      </c>
      <c r="E1" s="95"/>
      <c r="F1" s="95"/>
      <c r="H1" s="63" t="s">
        <v>144</v>
      </c>
      <c r="I1" s="64">
        <f>Mon!D1+49-1</f>
        <v>45683</v>
      </c>
      <c r="K1" s="17" t="s">
        <v>95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14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5</v>
      </c>
      <c r="L6" s="2" t="s">
        <v>47</v>
      </c>
    </row>
    <row r="7" spans="2:12" ht="12.75" customHeight="1" x14ac:dyDescent="0.25">
      <c r="B7" s="39">
        <v>4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22</v>
      </c>
      <c r="F8" s="16" t="s">
        <v>7</v>
      </c>
      <c r="H8" s="39">
        <f>SUM(H4:H7)</f>
        <v>16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47</v>
      </c>
      <c r="F9" s="22" t="s">
        <v>35</v>
      </c>
      <c r="K9" s="39">
        <v>9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54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154</v>
      </c>
      <c r="K17" s="39">
        <v>0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35</v>
      </c>
      <c r="F18" s="22" t="s">
        <v>35</v>
      </c>
      <c r="H18" s="39">
        <f>SUM(H12:H17)</f>
        <v>43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10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2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3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3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15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16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4</v>
      </c>
      <c r="F34" s="16" t="s">
        <v>2</v>
      </c>
      <c r="I34" s="2"/>
    </row>
    <row r="35" spans="2:12" ht="12.75" customHeight="1" thickBot="1" x14ac:dyDescent="0.3">
      <c r="E35" s="39">
        <f>SUM(E32:E34)</f>
        <v>20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29</v>
      </c>
      <c r="L42" s="2" t="s">
        <v>9</v>
      </c>
    </row>
    <row r="43" spans="2:12" x14ac:dyDescent="0.25">
      <c r="B43" s="91">
        <f>E5+E13+H5+H13+K3+K16+K16</f>
        <v>67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31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12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105</v>
      </c>
      <c r="H60" s="26">
        <f>B45</f>
        <v>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7" zoomScale="70" zoomScaleNormal="100" zoomScalePageLayoutView="70" workbookViewId="0">
      <selection activeCell="C59" sqref="C5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45638</v>
      </c>
      <c r="E1" s="95"/>
      <c r="F1" s="95"/>
      <c r="G1" s="1"/>
      <c r="H1" s="63" t="s">
        <v>144</v>
      </c>
      <c r="I1" s="64">
        <f>Mon!D1+49-1</f>
        <v>45683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12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12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41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24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4872512428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3893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30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45638</v>
      </c>
      <c r="E35" s="95"/>
      <c r="F35" s="95"/>
      <c r="H35" s="63" t="s">
        <v>144</v>
      </c>
      <c r="I35" s="64">
        <f>I1</f>
        <v>45683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5</v>
      </c>
      <c r="I38" s="2" t="s">
        <v>19</v>
      </c>
      <c r="K38" s="39">
        <v>11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21</v>
      </c>
      <c r="F39" s="2" t="s">
        <v>31</v>
      </c>
      <c r="H39" s="39">
        <v>27</v>
      </c>
      <c r="I39" s="2" t="s">
        <v>20</v>
      </c>
      <c r="K39" s="39">
        <v>32</v>
      </c>
      <c r="L39" s="2" t="s">
        <v>20</v>
      </c>
    </row>
    <row r="40" spans="1:12" x14ac:dyDescent="0.25">
      <c r="B40" s="39">
        <v>2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>
        <v>11</v>
      </c>
      <c r="F41" s="2" t="s">
        <v>104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0</v>
      </c>
      <c r="C42" s="2" t="s">
        <v>6</v>
      </c>
      <c r="E42" s="39">
        <v>4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0</v>
      </c>
      <c r="E43" s="39">
        <v>19</v>
      </c>
      <c r="F43" s="16" t="s">
        <v>7</v>
      </c>
      <c r="H43" s="39">
        <v>28</v>
      </c>
      <c r="I43" s="2" t="s">
        <v>22</v>
      </c>
      <c r="K43" s="39">
        <v>38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57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44</v>
      </c>
      <c r="E46" s="2" t="s">
        <v>36</v>
      </c>
      <c r="F46" s="16">
        <v>4872498798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3</v>
      </c>
      <c r="C47" s="2" t="s">
        <v>15</v>
      </c>
      <c r="H47" s="39">
        <v>26</v>
      </c>
      <c r="I47" s="16" t="s">
        <v>28</v>
      </c>
      <c r="K47" s="39">
        <v>52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87</v>
      </c>
      <c r="I48" s="2" t="s">
        <v>35</v>
      </c>
      <c r="K48" s="39">
        <f>SUM(K38:K47)</f>
        <v>136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64</v>
      </c>
      <c r="F50" s="2" t="s">
        <v>29</v>
      </c>
      <c r="H50" s="2" t="s">
        <v>36</v>
      </c>
      <c r="I50" s="16">
        <v>3647</v>
      </c>
      <c r="K50" s="2" t="s">
        <v>36</v>
      </c>
      <c r="L50" s="16">
        <v>3641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64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54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31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2</v>
      </c>
      <c r="I72" s="2" t="s">
        <v>45</v>
      </c>
      <c r="K72" s="47">
        <f>B9+E8+H8+B43+E42</f>
        <v>30</v>
      </c>
      <c r="L72" s="2" t="s">
        <v>9</v>
      </c>
    </row>
    <row r="73" spans="2:12" x14ac:dyDescent="0.25">
      <c r="B73" s="26">
        <f>B5+E5+B39</f>
        <v>16</v>
      </c>
      <c r="C73" s="2" t="s">
        <v>42</v>
      </c>
      <c r="D73" s="35">
        <f t="shared" ref="D73:D79" si="1">E73*15</f>
        <v>1065</v>
      </c>
      <c r="E73" s="37">
        <f t="shared" si="0"/>
        <v>71</v>
      </c>
      <c r="F73" s="2" t="s">
        <v>20</v>
      </c>
      <c r="H73" s="47">
        <f>H5+H15+E50+E39+E57</f>
        <v>141</v>
      </c>
      <c r="I73" s="2" t="s">
        <v>46</v>
      </c>
      <c r="K73" s="47">
        <f>B10+E9+H9+B44+E43</f>
        <v>70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21</v>
      </c>
      <c r="I75" s="2" t="s">
        <v>103</v>
      </c>
      <c r="K75" s="47">
        <f>B28+K54</f>
        <v>12</v>
      </c>
      <c r="L75" s="2" t="s">
        <v>51</v>
      </c>
    </row>
    <row r="76" spans="2:12" x14ac:dyDescent="0.25">
      <c r="B76" s="26">
        <f>B8+B42</f>
        <v>20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3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700</v>
      </c>
      <c r="E77" s="37">
        <f t="shared" si="0"/>
        <v>70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656</v>
      </c>
      <c r="E81" s="37">
        <f t="shared" si="0"/>
        <v>82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50</v>
      </c>
      <c r="K92" s="14">
        <f>G7+D41</f>
        <v>0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168</v>
      </c>
      <c r="H93" s="21">
        <f>H75</f>
        <v>21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2" sqref="O2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45639</v>
      </c>
      <c r="E1" s="95"/>
      <c r="F1" s="95"/>
      <c r="H1" s="63" t="s">
        <v>144</v>
      </c>
      <c r="I1" s="64">
        <f>Mon!D1+49-1</f>
        <v>45683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5</v>
      </c>
      <c r="O4" s="2" t="s">
        <v>41</v>
      </c>
    </row>
    <row r="5" spans="1:15" ht="12.75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5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12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5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1</v>
      </c>
      <c r="O12" s="16" t="s">
        <v>54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4</v>
      </c>
      <c r="I13" s="2" t="s">
        <v>15</v>
      </c>
      <c r="K13" s="39">
        <f>SUM(K4:K12)</f>
        <v>13</v>
      </c>
      <c r="L13" s="40" t="s">
        <v>35</v>
      </c>
      <c r="N13" s="39">
        <f>SUM(N4:N12)</f>
        <v>84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1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87</v>
      </c>
      <c r="C21" s="22" t="s">
        <v>35</v>
      </c>
      <c r="E21" s="39">
        <f>SUM(E4:E20)</f>
        <v>35</v>
      </c>
      <c r="F21" s="22" t="s">
        <v>35</v>
      </c>
      <c r="H21" s="39">
        <f>SUM(H4:H20)</f>
        <v>50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4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3</v>
      </c>
      <c r="C28" s="2" t="s">
        <v>47</v>
      </c>
      <c r="E28" s="39">
        <v>8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33</v>
      </c>
      <c r="C30" s="22" t="s">
        <v>35</v>
      </c>
      <c r="E30" s="39">
        <f>SUM(E24:E29)</f>
        <v>45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54</v>
      </c>
      <c r="L31" s="87" t="s">
        <v>44</v>
      </c>
    </row>
    <row r="32" spans="1:15" ht="12.75" customHeight="1" x14ac:dyDescent="0.25">
      <c r="B32" s="2" t="s">
        <v>36</v>
      </c>
      <c r="C32" s="16">
        <v>4872536469</v>
      </c>
      <c r="E32" s="2" t="s">
        <v>36</v>
      </c>
      <c r="F32" s="13">
        <v>4872539391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8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10</v>
      </c>
      <c r="F39" s="16" t="s">
        <v>50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60</v>
      </c>
      <c r="L44" s="2" t="s">
        <v>9</v>
      </c>
    </row>
    <row r="45" spans="2:15" x14ac:dyDescent="0.25">
      <c r="B45" s="26">
        <f>B5+E5+K5+H5+N5</f>
        <v>30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46</v>
      </c>
      <c r="K45" s="47">
        <f>B37+B10+B28+E10+K10+H10+N10+E28</f>
        <v>52</v>
      </c>
      <c r="L45" s="2" t="s">
        <v>7</v>
      </c>
    </row>
    <row r="46" spans="2:15" x14ac:dyDescent="0.25">
      <c r="B46" s="26">
        <f>B6+E6+K6+H6+N6</f>
        <v>8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9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19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134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69</v>
      </c>
      <c r="L48" s="2" t="s">
        <v>44</v>
      </c>
    </row>
    <row r="49" spans="2:12" x14ac:dyDescent="0.25">
      <c r="B49" s="26">
        <f>B13+E13+H13</f>
        <v>16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120</v>
      </c>
      <c r="H59" s="26">
        <f>B46</f>
        <v>8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240</v>
      </c>
      <c r="H60" s="21">
        <f>B49</f>
        <v>16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90</v>
      </c>
      <c r="H61" s="29">
        <f>K46</f>
        <v>9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670</v>
      </c>
      <c r="H64" s="21">
        <f>B48</f>
        <v>134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152</v>
      </c>
      <c r="H65" s="21">
        <f>H47</f>
        <v>19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51</v>
      </c>
      <c r="D1" s="46"/>
      <c r="E1" s="46"/>
      <c r="F1" s="63" t="s">
        <v>144</v>
      </c>
      <c r="G1" s="64">
        <f>Mon!D1+49-1</f>
        <v>45683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2</v>
      </c>
      <c r="J5" s="39">
        <v>96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7</v>
      </c>
      <c r="J6" s="39">
        <v>336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6</v>
      </c>
      <c r="J9" s="39">
        <v>288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6</v>
      </c>
      <c r="B10" s="39">
        <v>288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16</v>
      </c>
      <c r="J12" s="44">
        <f>SUM(J5:J11)</f>
        <v>768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336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144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912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288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26" sqref="K26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50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2628</v>
      </c>
      <c r="P3" s="53">
        <f>O3/125</f>
        <v>21.024000000000001</v>
      </c>
      <c r="R3" s="51" t="s">
        <v>118</v>
      </c>
      <c r="S3" s="55">
        <f>12*(D8+J4)</f>
        <v>2628</v>
      </c>
      <c r="T3" s="55">
        <f>15*(A4+D4+G4+J7+J5)+20*D12</f>
        <v>12615</v>
      </c>
      <c r="U3" s="55">
        <f>15*(A5+A9+D5+D9+D10+D11+G5+J6+J8+J10)+20*(A8+D13+G7)</f>
        <v>44730</v>
      </c>
      <c r="V3" s="55">
        <f>15*(A6+J11)</f>
        <v>3240</v>
      </c>
      <c r="W3" s="55">
        <f>15*D6</f>
        <v>0</v>
      </c>
      <c r="X3" s="55">
        <f>15*(A7+D7+G6+J9)</f>
        <v>2295</v>
      </c>
    </row>
    <row r="4" spans="1:24" ht="12.75" customHeight="1" x14ac:dyDescent="0.25">
      <c r="A4" s="31">
        <f>Mon!B70+Tues!B43+Wed!B42+Thurs!B72+Fri!B44+NFLD!A43</f>
        <v>33</v>
      </c>
      <c r="B4" s="2" t="s">
        <v>41</v>
      </c>
      <c r="C4" s="7"/>
      <c r="D4" s="31">
        <f>Mon!E70+Tues!E43+Wed!E42+Thurs!E72+Fri!E44+NFLD!D43</f>
        <v>37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219</v>
      </c>
      <c r="K4" s="2" t="s">
        <v>9</v>
      </c>
      <c r="M4" s="42"/>
      <c r="N4" s="52" t="s">
        <v>7</v>
      </c>
      <c r="O4" s="53">
        <f>J5*10</f>
        <v>5820</v>
      </c>
      <c r="P4" s="53">
        <f>O4/130</f>
        <v>44.769230769230766</v>
      </c>
      <c r="R4" s="51" t="s">
        <v>119</v>
      </c>
      <c r="S4" s="55">
        <f t="shared" ref="S4:X4" si="0">S3/15</f>
        <v>175.2</v>
      </c>
      <c r="T4" s="55">
        <f t="shared" si="0"/>
        <v>841</v>
      </c>
      <c r="U4" s="55">
        <f t="shared" si="0"/>
        <v>2982</v>
      </c>
      <c r="V4" s="55">
        <f t="shared" si="0"/>
        <v>216</v>
      </c>
      <c r="W4" s="55">
        <f t="shared" si="0"/>
        <v>0</v>
      </c>
      <c r="X4" s="55">
        <f t="shared" si="0"/>
        <v>153</v>
      </c>
    </row>
    <row r="5" spans="1:24" ht="12.75" customHeight="1" x14ac:dyDescent="0.25">
      <c r="A5" s="26">
        <f>Mon!B71+Tues!B44+Wed!B43+Thurs!B73+Fri!B45+NFLD!A44</f>
        <v>149</v>
      </c>
      <c r="B5" s="2" t="s">
        <v>42</v>
      </c>
      <c r="C5" s="24"/>
      <c r="D5" s="26">
        <f>Mon!E71+Tues!E44+Wed!E43+Thurs!E73+Fri!E45+NFLD!D44</f>
        <v>130</v>
      </c>
      <c r="E5" s="2" t="s">
        <v>20</v>
      </c>
      <c r="G5" s="26">
        <f>Mon!H71+Tues!H44+Wed!H43+Thurs!H73+Fri!H45+NFLD!G44</f>
        <v>305</v>
      </c>
      <c r="H5" s="2" t="s">
        <v>46</v>
      </c>
      <c r="J5" s="26">
        <f>Mon!K71+Tues!K44+Wed!K43+Thurs!K73+Fri!K45+NFLD!J44</f>
        <v>582</v>
      </c>
      <c r="K5" s="2" t="s">
        <v>7</v>
      </c>
      <c r="M5" s="42"/>
      <c r="N5" s="52" t="s">
        <v>8</v>
      </c>
      <c r="O5" s="53">
        <f>J6*10</f>
        <v>150</v>
      </c>
      <c r="P5" s="53">
        <f t="shared" ref="P5:P25" si="1">O5/130</f>
        <v>1.1538461538461537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15</v>
      </c>
      <c r="K6" s="2" t="s">
        <v>8</v>
      </c>
      <c r="M6" s="42"/>
      <c r="N6" s="52" t="s">
        <v>51</v>
      </c>
      <c r="O6" s="53">
        <f>J7*15</f>
        <v>2700</v>
      </c>
      <c r="P6" s="53">
        <f>O6/150</f>
        <v>18</v>
      </c>
    </row>
    <row r="7" spans="1:24" ht="12.75" customHeight="1" x14ac:dyDescent="0.25">
      <c r="A7" s="26">
        <f>Mon!B73+Tues!B46+Wed!B45+Thurs!B75+Fri!B47+NFLD!A46</f>
        <v>21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103</v>
      </c>
      <c r="H7" s="2" t="s">
        <v>103</v>
      </c>
      <c r="J7" s="26">
        <f>Mon!K73+Tues!K46+Wed!K45+Thurs!K75+Fri!K47+NFLD!J46</f>
        <v>180</v>
      </c>
      <c r="K7" s="2" t="s">
        <v>51</v>
      </c>
      <c r="M7" s="42"/>
      <c r="N7" s="52" t="s">
        <v>44</v>
      </c>
      <c r="O7" s="53">
        <f t="shared" ref="O7" si="2">J8*15</f>
        <v>16515</v>
      </c>
      <c r="P7" s="53">
        <f t="shared" ref="P7:P8" si="3">O7/150</f>
        <v>110.1</v>
      </c>
      <c r="R7" s="12" t="s">
        <v>106</v>
      </c>
      <c r="S7" s="60">
        <f>Mon!C2</f>
        <v>50</v>
      </c>
    </row>
    <row r="8" spans="1:24" ht="12.75" customHeight="1" x14ac:dyDescent="0.25">
      <c r="A8" s="26">
        <f>Mon!B74+Tues!B47+Wed!B46+Thurs!B76+Fri!B48+NFLD!A47</f>
        <v>353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1101</v>
      </c>
      <c r="K8" s="2" t="s">
        <v>44</v>
      </c>
      <c r="M8" s="42"/>
      <c r="N8" s="52" t="s">
        <v>2</v>
      </c>
      <c r="O8" s="53">
        <f>J9*15</f>
        <v>1755</v>
      </c>
      <c r="P8" s="53">
        <f t="shared" si="3"/>
        <v>11.7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22</v>
      </c>
      <c r="B9" s="2" t="s">
        <v>15</v>
      </c>
      <c r="C9" s="24"/>
      <c r="D9" s="26">
        <f>Mon!E75+Tues!E48+Wed!E47+Thurs!E77+Fri!E49+NFLD!D48</f>
        <v>131</v>
      </c>
      <c r="E9" s="2" t="s">
        <v>22</v>
      </c>
      <c r="J9" s="26">
        <f>Mon!K75+Tues!K48+Wed!K47+Thurs!K77+Fri!K49+NFLD!J48</f>
        <v>117</v>
      </c>
      <c r="K9" s="2" t="s">
        <v>2</v>
      </c>
      <c r="M9" s="42"/>
      <c r="N9" s="52" t="s">
        <v>122</v>
      </c>
      <c r="O9" s="53">
        <f>7*(J10+J11)+8*(D12+D13+G7)+5*A9</f>
        <v>5814</v>
      </c>
      <c r="P9" s="53">
        <f>O9/140</f>
        <v>41.528571428571432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333</v>
      </c>
      <c r="K10" s="2" t="s">
        <v>1</v>
      </c>
      <c r="M10" s="42"/>
      <c r="N10" s="52" t="s">
        <v>41</v>
      </c>
      <c r="O10" s="53">
        <f>A4*15</f>
        <v>495</v>
      </c>
      <c r="P10" s="53">
        <f>O10/250</f>
        <v>1.98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2235</v>
      </c>
      <c r="P11" s="53">
        <f t="shared" ref="P11:P13" si="5">O11/250</f>
        <v>8.94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195</v>
      </c>
      <c r="P12" s="53">
        <f t="shared" si="5"/>
        <v>0.78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141</v>
      </c>
      <c r="E13" s="2" t="s">
        <v>28</v>
      </c>
      <c r="M13" s="42"/>
      <c r="N13" s="52" t="s">
        <v>5</v>
      </c>
      <c r="O13" s="53">
        <f>A7*15</f>
        <v>315</v>
      </c>
      <c r="P13" s="53">
        <f t="shared" si="5"/>
        <v>1.26</v>
      </c>
      <c r="S13" s="59"/>
    </row>
    <row r="14" spans="1:24" ht="12.75" customHeight="1" x14ac:dyDescent="0.25">
      <c r="A14" s="7"/>
      <c r="N14" s="52" t="s">
        <v>127</v>
      </c>
      <c r="O14" s="53">
        <f>5*A9</f>
        <v>110</v>
      </c>
      <c r="P14" s="53">
        <f>O14/50</f>
        <v>2.2000000000000002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330</v>
      </c>
      <c r="P15" s="53">
        <f>O15/250</f>
        <v>1.32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4575</v>
      </c>
      <c r="P17" s="53">
        <f t="shared" si="6"/>
        <v>18.3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22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15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824</v>
      </c>
      <c r="P19" s="53">
        <f>O19/50</f>
        <v>16.48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555</v>
      </c>
      <c r="P20" s="53">
        <f>O20/150</f>
        <v>3.7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1950</v>
      </c>
      <c r="P21" s="53">
        <f t="shared" ref="P21:P23" si="9">O21/150</f>
        <v>13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353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103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1310</v>
      </c>
      <c r="P25" s="53">
        <f t="shared" si="1"/>
        <v>10.076923076923077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1128</v>
      </c>
      <c r="P29" s="53">
        <f>O29/50</f>
        <v>22.56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793</v>
      </c>
      <c r="P32" s="51">
        <f>O32/25-24*(G17+G20+G23)</f>
        <v>-16.28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2144</v>
      </c>
      <c r="P33" s="51">
        <f>O33/25-24*(G18+G21+G24)-20*G19</f>
        <v>-178.24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350</v>
      </c>
      <c r="P34" s="51">
        <f t="shared" ref="P34:P36" si="10">O34/25</f>
        <v>14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216</v>
      </c>
      <c r="P35" s="51">
        <f t="shared" si="10"/>
        <v>8.64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153</v>
      </c>
      <c r="P36" s="51">
        <f t="shared" si="10"/>
        <v>6.12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141</v>
      </c>
      <c r="P37" s="51">
        <f>O37/20</f>
        <v>7.05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51</v>
      </c>
      <c r="P38" s="51">
        <f>O38/20-13*G22</f>
        <v>-49.45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2024-12-12T19:00:23Z</cp:lastPrinted>
  <dcterms:created xsi:type="dcterms:W3CDTF">2014-06-06T13:58:10Z</dcterms:created>
  <dcterms:modified xsi:type="dcterms:W3CDTF">2024-12-12T19:45:38Z</dcterms:modified>
</cp:coreProperties>
</file>