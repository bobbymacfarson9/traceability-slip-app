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Egg Data Analysis/"/>
    </mc:Choice>
  </mc:AlternateContent>
  <xr:revisionPtr revIDLastSave="83" documentId="13_ncr:1_{E5A2E110-0A7A-4C0B-ADDE-1647816AD745}" xr6:coauthVersionLast="47" xr6:coauthVersionMax="47" xr10:uidLastSave="{50970CB7-305B-4DAF-8984-ABE065324C3B}"/>
  <bookViews>
    <workbookView xWindow="-110" yWindow="-110" windowWidth="19420" windowHeight="11500" tabRatio="500" firstSheet="4" activeTab="6" xr2:uid="{00000000-000D-0000-FFFF-FFFF00000000}"/>
  </bookViews>
  <sheets>
    <sheet name="Hilly Acres Farm Ltd. (2)" sheetId="9" r:id="rId1"/>
    <sheet name="Hilly Acres Farm Ltd." sheetId="2" r:id="rId2"/>
    <sheet name="Declaration Summary" sheetId="4" r:id="rId3"/>
    <sheet name="Grade out Information" sheetId="5" r:id="rId4"/>
    <sheet name="Bird Inventory" sheetId="3" r:id="rId5"/>
    <sheet name="Pallet Information" sheetId="6" r:id="rId6"/>
    <sheet name="Inputs" sheetId="8" r:id="rId7"/>
    <sheet name="Procedures" sheetId="7" r:id="rId8"/>
    <sheet name="Producer Number" sheetId="1" r:id="rId9"/>
  </sheets>
  <definedNames>
    <definedName name="_xlnm.Print_Area" localSheetId="7">Procedures!$A$1:$O$41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8" l="1"/>
  <c r="C36" i="8"/>
  <c r="B36" i="8"/>
  <c r="D36" i="8"/>
  <c r="E36" i="8"/>
  <c r="W18" i="5"/>
  <c r="S40" i="9"/>
  <c r="R40" i="9"/>
  <c r="Q40" i="9"/>
  <c r="Q39" i="9" s="1"/>
  <c r="P40" i="9"/>
  <c r="N40" i="9"/>
  <c r="N39" i="9" s="1"/>
  <c r="M40" i="9"/>
  <c r="M39" i="9" s="1"/>
  <c r="L40" i="9"/>
  <c r="K40" i="9"/>
  <c r="K39" i="9" s="1"/>
  <c r="J40" i="9"/>
  <c r="J39" i="9" s="1"/>
  <c r="P39" i="9"/>
  <c r="O39" i="9"/>
  <c r="H39" i="9"/>
  <c r="T16" i="9" s="1"/>
  <c r="E38" i="9"/>
  <c r="S36" i="9"/>
  <c r="S35" i="9" s="1"/>
  <c r="R36" i="9"/>
  <c r="Q36" i="9"/>
  <c r="P36" i="9"/>
  <c r="N36" i="9"/>
  <c r="M36" i="9"/>
  <c r="M35" i="9" s="1"/>
  <c r="L36" i="9"/>
  <c r="L35" i="9" s="1"/>
  <c r="K36" i="9"/>
  <c r="J36" i="9"/>
  <c r="O14" i="9" s="1"/>
  <c r="H36" i="9"/>
  <c r="H35" i="9"/>
  <c r="T14" i="9" s="1"/>
  <c r="E34" i="9"/>
  <c r="S32" i="9"/>
  <c r="R32" i="9"/>
  <c r="Q32" i="9"/>
  <c r="P32" i="9"/>
  <c r="U10" i="9" s="1"/>
  <c r="N32" i="9"/>
  <c r="N31" i="9" s="1"/>
  <c r="M32" i="9"/>
  <c r="L32" i="9"/>
  <c r="Q10" i="9" s="1"/>
  <c r="K32" i="9"/>
  <c r="J32" i="9"/>
  <c r="O11" i="9" s="1"/>
  <c r="O31" i="9"/>
  <c r="H31" i="9"/>
  <c r="E30" i="9"/>
  <c r="T11" i="9" s="1"/>
  <c r="S28" i="9"/>
  <c r="R28" i="9"/>
  <c r="K8" i="9" s="1"/>
  <c r="Q28" i="9"/>
  <c r="P28" i="9"/>
  <c r="N28" i="9"/>
  <c r="N27" i="9" s="1"/>
  <c r="M28" i="9"/>
  <c r="L28" i="9"/>
  <c r="Q8" i="9" s="1"/>
  <c r="K28" i="9"/>
  <c r="P8" i="9" s="1"/>
  <c r="J28" i="9"/>
  <c r="O7" i="9" s="1"/>
  <c r="H28" i="9"/>
  <c r="R27" i="9"/>
  <c r="H27" i="9"/>
  <c r="E26" i="9"/>
  <c r="I19" i="9"/>
  <c r="U8" i="9"/>
  <c r="T8" i="9"/>
  <c r="U7" i="9"/>
  <c r="T7" i="9"/>
  <c r="G2" i="9"/>
  <c r="G1" i="9"/>
  <c r="I71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16" i="6"/>
  <c r="I18" i="6"/>
  <c r="I7" i="6"/>
  <c r="L7" i="6" s="1"/>
  <c r="I78" i="6"/>
  <c r="E11" i="5"/>
  <c r="G11" i="5" s="1"/>
  <c r="H11" i="5" s="1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J17" i="6"/>
  <c r="I17" i="6" s="1"/>
  <c r="J18" i="6"/>
  <c r="L18" i="6" s="1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J26" i="6"/>
  <c r="I26" i="6" s="1"/>
  <c r="J27" i="6"/>
  <c r="I27" i="6" s="1"/>
  <c r="J28" i="6"/>
  <c r="I28" i="6" s="1"/>
  <c r="J29" i="6"/>
  <c r="I29" i="6" s="1"/>
  <c r="L29" i="6" s="1"/>
  <c r="J30" i="6"/>
  <c r="I30" i="6" s="1"/>
  <c r="J31" i="6"/>
  <c r="I31" i="6" s="1"/>
  <c r="J32" i="6"/>
  <c r="I32" i="6" s="1"/>
  <c r="J33" i="6"/>
  <c r="I33" i="6" s="1"/>
  <c r="L33" i="6" s="1"/>
  <c r="J34" i="6"/>
  <c r="I34" i="6" s="1"/>
  <c r="L34" i="6" s="1"/>
  <c r="J35" i="6"/>
  <c r="I35" i="6" s="1"/>
  <c r="L35" i="6" s="1"/>
  <c r="J36" i="6"/>
  <c r="I36" i="6" s="1"/>
  <c r="L36" i="6" s="1"/>
  <c r="J37" i="6"/>
  <c r="I37" i="6" s="1"/>
  <c r="L37" i="6" s="1"/>
  <c r="J38" i="6"/>
  <c r="I38" i="6" s="1"/>
  <c r="L38" i="6" s="1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G1" i="2"/>
  <c r="C3" i="8"/>
  <c r="I4" i="8" s="1"/>
  <c r="J4" i="8" s="1"/>
  <c r="P28" i="2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K7" i="9" l="1"/>
  <c r="S39" i="9"/>
  <c r="O13" i="9"/>
  <c r="J27" i="9"/>
  <c r="K27" i="9"/>
  <c r="P7" i="9"/>
  <c r="O10" i="9"/>
  <c r="Q11" i="9"/>
  <c r="U11" i="9"/>
  <c r="P31" i="9"/>
  <c r="T28" i="9"/>
  <c r="Q14" i="9"/>
  <c r="T36" i="9"/>
  <c r="T32" i="9"/>
  <c r="Q27" i="9"/>
  <c r="T40" i="9"/>
  <c r="O8" i="9"/>
  <c r="K35" i="9"/>
  <c r="U16" i="9"/>
  <c r="V7" i="9"/>
  <c r="V8" i="9"/>
  <c r="V10" i="9"/>
  <c r="V11" i="9"/>
  <c r="V13" i="9"/>
  <c r="V14" i="9"/>
  <c r="V16" i="9"/>
  <c r="S27" i="9"/>
  <c r="N35" i="9"/>
  <c r="R39" i="9"/>
  <c r="U13" i="9"/>
  <c r="J31" i="9"/>
  <c r="O35" i="9"/>
  <c r="U14" i="9"/>
  <c r="K31" i="9"/>
  <c r="P35" i="9"/>
  <c r="K10" i="9"/>
  <c r="M10" i="9" s="1"/>
  <c r="K11" i="9"/>
  <c r="M11" i="9" s="1"/>
  <c r="K13" i="9"/>
  <c r="M13" i="9" s="1"/>
  <c r="K14" i="9"/>
  <c r="M14" i="9" s="1"/>
  <c r="K16" i="9"/>
  <c r="L31" i="9"/>
  <c r="Q35" i="9"/>
  <c r="L7" i="9"/>
  <c r="L8" i="9"/>
  <c r="M8" i="9" s="1"/>
  <c r="L10" i="9"/>
  <c r="L11" i="9"/>
  <c r="L13" i="9"/>
  <c r="L14" i="9"/>
  <c r="L16" i="9"/>
  <c r="M31" i="9"/>
  <c r="R35" i="9"/>
  <c r="P10" i="9"/>
  <c r="P11" i="9"/>
  <c r="P13" i="9"/>
  <c r="P14" i="9"/>
  <c r="P16" i="9"/>
  <c r="M27" i="9"/>
  <c r="Q31" i="9"/>
  <c r="L39" i="9"/>
  <c r="L27" i="9"/>
  <c r="Q16" i="9"/>
  <c r="R31" i="9"/>
  <c r="R7" i="9"/>
  <c r="R8" i="9"/>
  <c r="R10" i="9"/>
  <c r="R11" i="9"/>
  <c r="R13" i="9"/>
  <c r="R14" i="9"/>
  <c r="R16" i="9"/>
  <c r="O27" i="9"/>
  <c r="S31" i="9"/>
  <c r="J35" i="9"/>
  <c r="Q7" i="9"/>
  <c r="Q13" i="9"/>
  <c r="S7" i="9"/>
  <c r="S8" i="9"/>
  <c r="S10" i="9"/>
  <c r="S11" i="9"/>
  <c r="S13" i="9"/>
  <c r="S14" i="9"/>
  <c r="S16" i="9"/>
  <c r="P27" i="9"/>
  <c r="O16" i="9"/>
  <c r="T10" i="9"/>
  <c r="T13" i="9"/>
  <c r="I25" i="6"/>
  <c r="L25" i="6" s="1"/>
  <c r="L28" i="6"/>
  <c r="L26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T39" i="9" l="1"/>
  <c r="O19" i="9"/>
  <c r="U19" i="9"/>
  <c r="N11" i="9"/>
  <c r="H11" i="9" s="1"/>
  <c r="J11" i="9" s="1"/>
  <c r="N8" i="9"/>
  <c r="H8" i="9" s="1"/>
  <c r="J8" i="9" s="1"/>
  <c r="T27" i="9"/>
  <c r="V19" i="9"/>
  <c r="N10" i="9"/>
  <c r="H10" i="9" s="1"/>
  <c r="J10" i="9" s="1"/>
  <c r="R19" i="9"/>
  <c r="S19" i="9"/>
  <c r="Q19" i="9"/>
  <c r="N7" i="9"/>
  <c r="T31" i="9"/>
  <c r="T35" i="9"/>
  <c r="P19" i="9"/>
  <c r="M7" i="9"/>
  <c r="L19" i="9"/>
  <c r="T19" i="9"/>
  <c r="K19" i="9"/>
  <c r="N16" i="9"/>
  <c r="N14" i="9"/>
  <c r="H14" i="9" s="1"/>
  <c r="J14" i="9" s="1"/>
  <c r="N13" i="9"/>
  <c r="H13" i="9" s="1"/>
  <c r="J13" i="9" s="1"/>
  <c r="M16" i="9"/>
  <c r="AC26" i="5"/>
  <c r="X26" i="5"/>
  <c r="AB26" i="5" s="1"/>
  <c r="T15" i="5"/>
  <c r="T26" i="5" s="1"/>
  <c r="H16" i="9" l="1"/>
  <c r="J16" i="9" s="1"/>
  <c r="N19" i="9"/>
  <c r="H7" i="9"/>
  <c r="M19" i="9"/>
  <c r="S23" i="5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K18" i="5"/>
  <c r="J18" i="5" s="1"/>
  <c r="K20" i="5"/>
  <c r="K23" i="5"/>
  <c r="J23" i="5" s="1"/>
  <c r="K15" i="5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F30" i="8"/>
  <c r="J30" i="8" s="1"/>
  <c r="F29" i="8"/>
  <c r="J29" i="8" s="1"/>
  <c r="N21" i="9" l="1"/>
  <c r="J7" i="9"/>
  <c r="J19" i="9" s="1"/>
  <c r="H19" i="9"/>
  <c r="E30" i="2"/>
  <c r="S31" i="2" s="1"/>
  <c r="E38" i="2"/>
  <c r="K39" i="2" s="1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7" i="2" l="1"/>
  <c r="H8" i="2"/>
  <c r="J8" i="2" s="1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<sst xmlns="http://schemas.openxmlformats.org/spreadsheetml/2006/main" count="712" uniqueCount="238">
  <si>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</si>
  <si>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</si>
  <si>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</si>
  <si>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</si>
  <si>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</si>
  <si>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</si>
  <si>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</si>
  <si>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</si>
  <si>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</si>
  <si>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</si>
  <si>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</si>
  <si>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</si>
  <si>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</si>
  <si>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</si>
  <si>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</si>
  <si>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</si>
  <si>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</si>
  <si>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</si>
  <si>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</si>
  <si>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</si>
  <si>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</si>
  <si>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</si>
  <si>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</si>
  <si>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</si>
  <si>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</si>
  <si>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</si>
  <si>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</si>
  <si>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</si>
  <si>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</si>
  <si>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</si>
  <si>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</si>
  <si>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</si>
  <si>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</si>
  <si>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</si>
  <si>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</si>
  <si>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</si>
  <si>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</si>
  <si>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</si>
  <si>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</si>
  <si>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</si>
  <si>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</si>
  <si>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</si>
  <si>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</si>
  <si>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</si>
  <si>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</si>
  <si>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</si>
  <si>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</si>
  <si>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</si>
  <si>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</si>
  <si>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</si>
  <si>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</si>
  <si>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</si>
  <si>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</si>
  <si>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</si>
  <si>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</si>
  <si>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</si>
  <si>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</si>
  <si>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</si>
  <si>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</si>
  <si>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</si>
  <si>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</si>
  <si>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</si>
  <si>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</si>
  <si>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</si>
  <si>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</si>
  <si>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</si>
  <si>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</si>
  <si>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</si>
  <si>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</si>
  <si>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</si>
  <si>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</si>
  <si>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</si>
  <si>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</si>
  <si>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</si>
  <si>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</si>
  <si>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</si>
  <si>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</si>
  <si>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</si>
  <si>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</si>
  <si>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</si>
  <si>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</si>
  <si>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</si>
  <si>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</si>
  <si>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</si>
  <si>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</si>
  <si>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</si>
  <si>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</si>
  <si>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</si>
  <si>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</si>
  <si>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</si>
  <si>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</si>
  <si>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</si>
  <si>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</si>
  <si>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</si>
  <si>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</si>
  <si>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</si>
  <si>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</si>
  <si>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</si>
  <si>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</si>
  <si>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</si>
  <si>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</si>
  <si>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</si>
  <si>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</si>
  <si>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</si>
  <si>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</si>
  <si>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</si>
  <si>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</si>
  <si>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</si>
  <si>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</si>
  <si>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</si>
  <si>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</si>
  <si>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</si>
  <si>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</si>
  <si>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</si>
  <si>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</si>
  <si>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</si>
  <si>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</si>
  <si>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</si>
  <si>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</si>
  <si>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</si>
  <si>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</si>
  <si>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</si>
  <si>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</si>
  <si>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</si>
  <si>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</si>
  <si>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</si>
  <si>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</si>
  <si>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</si>
  <si>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</si>
  <si>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</si>
  <si>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</si>
  <si>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</si>
  <si>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</si>
  <si>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</si>
  <si>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</si>
  <si>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</si>
  <si>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</si>
  <si>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</si>
  <si>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</si>
  <si>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</si>
  <si>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</si>
  <si>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</si>
  <si>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</si>
  <si>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</si>
  <si>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</si>
  <si>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</si>
  <si>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</si>
  <si>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</si>
  <si>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</si>
  <si>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</si>
  <si>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</si>
  <si>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</si>
  <si>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</si>
  <si>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</si>
  <si>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</si>
  <si>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</si>
  <si>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</si>
  <si>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</si>
  <si>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</si>
  <si>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</si>
  <si>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</si>
  <si>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</si>
  <si>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</si>
  <si>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</si>
  <si>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</si>
  <si>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</si>
  <si>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</si>
  <si>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</si>
  <si>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</si>
  <si>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</si>
  <si>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</si>
  <si>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</si>
  <si>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</si>
  <si>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</si>
  <si>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</si>
  <si>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</si>
  <si>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</si>
  <si>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</si>
  <si>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</si>
  <si>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</si>
  <si>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</si>
  <si>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</si>
  <si>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</si>
  <si>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</si>
  <si>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</si>
  <si>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</si>
  <si>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</si>
  <si>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</si>
  <si>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</si>
  <si>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</si>
  <si>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</si>
  <si>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</si>
  <si>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</si>
  <si>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</si>
  <si>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</si>
  <si>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</si>
  <si>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</si>
  <si>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</si>
  <si>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</si>
  <si>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</si>
  <si>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</si>
  <si>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</si>
  <si>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</si>
  <si>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</si>
  <si>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</si>
  <si>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</si>
  <si>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</si>
  <si>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</si>
  <si>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</si>
  <si>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</si>
  <si>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</si>
  <si>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</si>
  <si>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</si>
  <si>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</si>
  <si>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</si>
  <si>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</si>
  <si>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</si>
  <si>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</si>
  <si>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</si>
  <si>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</si>
  <si>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</si>
  <si>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</si>
  <si>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</si>
  <si>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</si>
  <si>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</si>
  <si>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</si>
  <si>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</si>
  <si>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</si>
  <si>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</si>
  <si>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</si>
  <si>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</si>
  <si>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</si>
  <si>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</si>
  <si>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</si>
  <si>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</si>
  <si>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</si>
  <si>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Jan 3/25</t>
  </si>
  <si>
    <t>Barn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</si>
</sst>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5406-1DD1-48C2-A275-B287FD6AB97F}">
  <sheetPr codeName="Sheet9">
    <tabColor rgb="FFFFC000"/>
    <pageSetUpPr fitToPage="1"/>
  </sheetPr>
  <dimension ref="A1:AMJ50"/>
  <sheetViews>
    <sheetView zoomScale="70" zoomScaleNormal="70" workbookViewId="0">
      <selection activeCell="H9" sqref="H9"/>
    </sheetView>
  </sheetViews>
  <sheetFormatPr defaultColWidth="8.81640625" defaultRowHeight="12.5" x14ac:dyDescent="0.25"/>
  <cols>
    <col min="1" max="1" width="37.81640625" style="5" customWidth="1"/>
    <col min="2" max="2" width="4.1796875" style="5" customWidth="1"/>
    <col min="3" max="3" width="8.81640625" style="5"/>
    <col min="4" max="4" width="11.453125" style="5" customWidth="1"/>
    <col min="5" max="5" width="20.81640625" style="5" customWidth="1"/>
    <col min="6" max="6" width="13" style="5" customWidth="1"/>
    <col min="7" max="7" width="11.453125" style="5" customWidth="1"/>
    <col min="8" max="8" width="17" style="5" customWidth="1"/>
    <col min="9" max="9" width="14.1796875" style="5" customWidth="1"/>
    <col min="10" max="10" width="15" style="5" customWidth="1"/>
    <col min="11" max="11" width="9.7265625" style="5" bestFit="1" customWidth="1"/>
    <col min="12" max="12" width="9.81640625" style="5" customWidth="1"/>
    <col min="13" max="13" width="16" style="5" customWidth="1"/>
    <col min="14" max="14" width="14" style="5" customWidth="1"/>
    <col min="15" max="15" width="15" style="5" customWidth="1"/>
    <col min="16" max="16" width="14.26953125" style="5" customWidth="1"/>
    <col min="17" max="17" width="13" style="5" customWidth="1"/>
    <col min="18" max="18" width="12" style="5" customWidth="1"/>
    <col min="19" max="19" width="11.54296875" style="5" customWidth="1"/>
    <col min="20" max="20" width="10.453125" style="5" customWidth="1"/>
    <col min="21" max="21" width="9.81640625" style="5" customWidth="1"/>
    <col min="22" max="22" width="10.1796875" style="5" customWidth="1"/>
    <col min="23" max="1024" width="8.81640625" style="5"/>
  </cols>
  <sheetData>
    <row r="1" spans="1:22" ht="14.25" customHeight="1" x14ac:dyDescent="0.3">
      <c r="A1" s="6" t="s">
        <v>18</v>
      </c>
      <c r="B1" s="6"/>
      <c r="C1" s="7"/>
      <c r="D1" s="7"/>
      <c r="E1" s="7"/>
      <c r="F1" s="8" t="s">
        <v>19</v>
      </c>
      <c r="G1" s="171">
        <f>Inputs!C2</f>
        <v>1</v>
      </c>
      <c r="H1" s="7"/>
      <c r="I1" s="7"/>
      <c r="J1" s="7"/>
      <c r="L1" s="9"/>
      <c r="M1" s="6"/>
      <c r="N1" s="6"/>
    </row>
    <row r="2" spans="1:22" ht="14" x14ac:dyDescent="0.3">
      <c r="A2" s="6" t="s">
        <v>20</v>
      </c>
      <c r="B2" s="6"/>
      <c r="C2" s="7"/>
      <c r="D2" s="7"/>
      <c r="E2" s="7"/>
      <c r="F2" s="8" t="s">
        <v>21</v>
      </c>
      <c r="G2" s="236">
        <f>Inputs!C3</f>
        <v>45662.25</v>
      </c>
      <c r="H2" s="237"/>
      <c r="I2" s="7"/>
      <c r="J2" s="7"/>
      <c r="L2" s="10"/>
      <c r="P2" s="11"/>
    </row>
    <row r="3" spans="1:22" ht="13" x14ac:dyDescent="0.3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ht="13" x14ac:dyDescent="0.3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ht="13" x14ac:dyDescent="0.3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ht="13" x14ac:dyDescent="0.3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ht="13" x14ac:dyDescent="0.3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11039.027552674228</v>
      </c>
      <c r="I7" s="27">
        <v>0</v>
      </c>
      <c r="J7" s="26">
        <f>IFERROR(H7-I7,"")</f>
        <v>11039.027552674228</v>
      </c>
      <c r="K7" s="26">
        <f>IFERROR(($E$26/($H$27+$H$28)*$H$27)*R28,"")</f>
        <v>66.234165316045377</v>
      </c>
      <c r="L7" s="26">
        <f>IFERROR(($E$26/($H$27+$H$28)*$H$27)*S28,"")</f>
        <v>0</v>
      </c>
      <c r="M7" s="28">
        <f>IFERROR(K7+L7,"")</f>
        <v>66.234165316045377</v>
      </c>
      <c r="N7" s="29">
        <f>IFERROR(O7+P7+Q7+R7+S7+T7+U7+V7,"")</f>
        <v>10972.793387358182</v>
      </c>
      <c r="O7" s="26">
        <f t="shared" ref="O7:V7" si="0">IFERROR(($E$26/($H$27+$H$28)*$H$27)*J28,"")</f>
        <v>485.71721231766611</v>
      </c>
      <c r="P7" s="26">
        <f>IFERROR(($E$26/($H$27+$H$28)*$H$27)*K28,"")</f>
        <v>2892.2252188006482</v>
      </c>
      <c r="Q7" s="26">
        <f t="shared" si="0"/>
        <v>6634.4555591572116</v>
      </c>
      <c r="R7" s="26">
        <f t="shared" si="0"/>
        <v>883.1222042139384</v>
      </c>
      <c r="S7" s="26">
        <f t="shared" si="0"/>
        <v>11.039027552674231</v>
      </c>
      <c r="T7" s="26">
        <f t="shared" si="0"/>
        <v>0</v>
      </c>
      <c r="U7" s="26">
        <f t="shared" si="0"/>
        <v>66.234165316045377</v>
      </c>
      <c r="V7" s="26">
        <f t="shared" si="0"/>
        <v>0</v>
      </c>
    </row>
    <row r="8" spans="1:22" ht="13" x14ac:dyDescent="0.3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1065.9724473257702</v>
      </c>
      <c r="I8" s="27">
        <v>0</v>
      </c>
      <c r="J8" s="26">
        <f>IFERROR(H8-I8,"")</f>
        <v>1065.9724473257702</v>
      </c>
      <c r="K8" s="26">
        <f>IFERROR(($E$26/($H$27+$H$28)*$H$28)*R28,"")</f>
        <v>6.3958346839546198</v>
      </c>
      <c r="L8" s="26">
        <f>IFERROR(($E$26/($H$27+$H$28)*$H$28)*S28,"")</f>
        <v>0</v>
      </c>
      <c r="M8" s="28">
        <f>IFERROR(K8+L8,"")</f>
        <v>6.3958346839546198</v>
      </c>
      <c r="N8" s="29">
        <f>IFERROR(O8+P8+Q8+R8+S8+T8+U8+V8,"")</f>
        <v>1059.5766126418155</v>
      </c>
      <c r="O8" s="26">
        <f t="shared" ref="O8:V8" si="1">IFERROR(($E$26/($H$27+$H$28)*$H$28)*J28,"")</f>
        <v>46.902787682333873</v>
      </c>
      <c r="P8" s="26">
        <f t="shared" si="1"/>
        <v>279.28478119935176</v>
      </c>
      <c r="Q8" s="26">
        <f t="shared" si="1"/>
        <v>640.64944084278773</v>
      </c>
      <c r="R8" s="26">
        <f t="shared" si="1"/>
        <v>85.277795786061603</v>
      </c>
      <c r="S8" s="26">
        <f t="shared" si="1"/>
        <v>1.0659724473257699</v>
      </c>
      <c r="T8" s="26">
        <f t="shared" si="1"/>
        <v>0</v>
      </c>
      <c r="U8" s="26">
        <f t="shared" si="1"/>
        <v>6.3958346839546198</v>
      </c>
      <c r="V8" s="26">
        <f t="shared" si="1"/>
        <v>0</v>
      </c>
    </row>
    <row r="10" spans="1:22" ht="13" x14ac:dyDescent="0.3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23044.625250000005</v>
      </c>
      <c r="I10" s="27">
        <v>0</v>
      </c>
      <c r="J10" s="26">
        <f>IFERROR(H10-I10,"")</f>
        <v>23044.625250000005</v>
      </c>
      <c r="K10" s="26">
        <f>IFERROR(($E$30/($H$31+$H$32)*$H$31)*R32,"")</f>
        <v>345.82500000000005</v>
      </c>
      <c r="L10" s="26">
        <f>IFERROR(($E$30/($H$31+$H$32)*$H$31)*S32,"")</f>
        <v>23.055000000000003</v>
      </c>
      <c r="M10" s="28">
        <f>IFERROR(K10+L10,"")</f>
        <v>368.88000000000005</v>
      </c>
      <c r="N10" s="29">
        <f>IFERROR(O10+P10+Q10+R10+S10+T10+U10+V10,"")</f>
        <v>22675.745250000004</v>
      </c>
      <c r="O10" s="26">
        <f t="shared" ref="O10:V10" si="2">IFERROR(($E$30/($H$31+$H$32)*$H$31)*J32,"")</f>
        <v>1683.0150000000001</v>
      </c>
      <c r="P10" s="26">
        <f t="shared" si="2"/>
        <v>7423.7100000000009</v>
      </c>
      <c r="Q10" s="26">
        <f t="shared" si="2"/>
        <v>12334.425000000003</v>
      </c>
      <c r="R10" s="26">
        <f t="shared" si="2"/>
        <v>1152.7500000000002</v>
      </c>
      <c r="S10" s="26">
        <f t="shared" si="2"/>
        <v>1.1527500000000002</v>
      </c>
      <c r="T10" s="26">
        <f t="shared" si="2"/>
        <v>0</v>
      </c>
      <c r="U10" s="26">
        <f t="shared" si="2"/>
        <v>69.165000000000006</v>
      </c>
      <c r="V10" s="26">
        <f t="shared" si="2"/>
        <v>11.527500000000002</v>
      </c>
    </row>
    <row r="11" spans="1:22" ht="13" x14ac:dyDescent="0.3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ht="13" x14ac:dyDescent="0.3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18926.604139715404</v>
      </c>
      <c r="I13" s="27">
        <v>0</v>
      </c>
      <c r="J13" s="26">
        <f>IFERROR(H13-I13,"")</f>
        <v>18926.604139715404</v>
      </c>
      <c r="K13" s="26">
        <f>IFERROR(($E$34/($H$35+$H$36)*$H$35)*R36,"")</f>
        <v>246.04585381630017</v>
      </c>
      <c r="L13" s="26">
        <f>IFERROR(($E$34/($H$35+$H$36)*$H$35)*S36,"")</f>
        <v>18.926604139715398</v>
      </c>
      <c r="M13" s="28">
        <f>IFERROR(K13+L13,"")</f>
        <v>264.97245795601555</v>
      </c>
      <c r="N13" s="29">
        <f>IFERROR(O13+P13+Q13+R13+S13+T13+U13+V13,"")</f>
        <v>18661.631681759387</v>
      </c>
      <c r="O13" s="26">
        <f t="shared" ref="O13:V13" si="4">IFERROR(($E$34/($H$35+$H$36)*$H$35)*J36,"")</f>
        <v>340.67887451487712</v>
      </c>
      <c r="P13" s="26">
        <f t="shared" si="4"/>
        <v>3936.7336610608022</v>
      </c>
      <c r="Q13" s="26">
        <f t="shared" si="4"/>
        <v>12661.898169469601</v>
      </c>
      <c r="R13" s="26">
        <f t="shared" si="4"/>
        <v>1684.4677684346702</v>
      </c>
      <c r="S13" s="26">
        <f t="shared" si="4"/>
        <v>18.926604139715398</v>
      </c>
      <c r="T13" s="26">
        <f t="shared" si="4"/>
        <v>0</v>
      </c>
      <c r="U13" s="26">
        <f t="shared" si="4"/>
        <v>18.926604139715398</v>
      </c>
      <c r="V13" s="26">
        <f t="shared" si="4"/>
        <v>0</v>
      </c>
    </row>
    <row r="14" spans="1:22" ht="13" x14ac:dyDescent="0.3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2148.3958602846051</v>
      </c>
      <c r="I14" s="27">
        <v>0</v>
      </c>
      <c r="J14" s="26">
        <f>IFERROR(H14-I14,"")</f>
        <v>2148.3958602846051</v>
      </c>
      <c r="K14" s="26">
        <f>IFERROR(($E$34/($H$35+$H$36)*$H$36)*R36,"")</f>
        <v>27.929146183699874</v>
      </c>
      <c r="L14" s="26">
        <f>IFERROR(($E$34/($H$35+$H$36)*$H$36)*S36,"")</f>
        <v>2.1483958602846056</v>
      </c>
      <c r="M14" s="28">
        <f>IFERROR(K14+L14,"")</f>
        <v>30.077542043984479</v>
      </c>
      <c r="N14" s="29">
        <f>IFERROR(O14+P14+Q14+R14+S14+T14+U14+V14,"")</f>
        <v>2118.3183182406206</v>
      </c>
      <c r="O14" s="26">
        <f t="shared" ref="O14:V14" si="5">IFERROR(($E$34/($H$35+$H$36)*$H$36)*J36,"")</f>
        <v>38.6711254851229</v>
      </c>
      <c r="P14" s="26">
        <f t="shared" si="5"/>
        <v>446.86633893919793</v>
      </c>
      <c r="Q14" s="26">
        <f t="shared" si="5"/>
        <v>1437.2768305304012</v>
      </c>
      <c r="R14" s="26">
        <f t="shared" si="5"/>
        <v>191.20723156532989</v>
      </c>
      <c r="S14" s="26">
        <f t="shared" si="5"/>
        <v>2.1483958602846056</v>
      </c>
      <c r="T14" s="26">
        <f t="shared" si="5"/>
        <v>0</v>
      </c>
      <c r="U14" s="26">
        <f t="shared" si="5"/>
        <v>2.1483958602846056</v>
      </c>
      <c r="V14" s="26">
        <f t="shared" si="5"/>
        <v>0</v>
      </c>
    </row>
    <row r="15" spans="1:22" ht="13" x14ac:dyDescent="0.3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ht="13" x14ac:dyDescent="0.3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11415</v>
      </c>
      <c r="I16" s="27">
        <v>0</v>
      </c>
      <c r="J16" s="26">
        <f>IFERROR(H16-I16,"")</f>
        <v>11415</v>
      </c>
      <c r="K16" s="26">
        <f>IFERROR(($E$38/($H$39)*$H$39)*R40,"")</f>
        <v>159.81</v>
      </c>
      <c r="L16" s="26">
        <f>IFERROR(($E$38/($H$39)*$H$39)*S40,"")</f>
        <v>22.830000000000002</v>
      </c>
      <c r="M16" s="28">
        <f>IFERROR(K16+L16,"")</f>
        <v>182.64000000000001</v>
      </c>
      <c r="N16" s="29">
        <f>IFERROR(O16+P16+Q16+R16+S16+T16+U16+V16,"")</f>
        <v>11232.36</v>
      </c>
      <c r="O16" s="26">
        <f t="shared" ref="O16:V16" si="6">IFERROR(($E$38/($H$39)*$H$39)*J40,"")</f>
        <v>616.41</v>
      </c>
      <c r="P16" s="26">
        <f t="shared" si="6"/>
        <v>3276.1049999999996</v>
      </c>
      <c r="Q16" s="26">
        <f t="shared" si="6"/>
        <v>6369.5700000000006</v>
      </c>
      <c r="R16" s="26">
        <f t="shared" si="6"/>
        <v>913.2</v>
      </c>
      <c r="S16" s="26">
        <f t="shared" si="6"/>
        <v>11.415000000000001</v>
      </c>
      <c r="T16" s="26">
        <f t="shared" si="6"/>
        <v>0</v>
      </c>
      <c r="U16" s="26">
        <f t="shared" si="6"/>
        <v>45.660000000000004</v>
      </c>
      <c r="V16" s="26">
        <f t="shared" si="6"/>
        <v>0</v>
      </c>
    </row>
    <row r="18" spans="1:22" ht="13" x14ac:dyDescent="0.3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4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67639.625250000012</v>
      </c>
      <c r="I19" s="37">
        <f t="shared" si="7"/>
        <v>0</v>
      </c>
      <c r="J19" s="37">
        <f t="shared" si="7"/>
        <v>67639.625250000012</v>
      </c>
      <c r="K19" s="37">
        <f t="shared" si="7"/>
        <v>852.24</v>
      </c>
      <c r="L19" s="37">
        <f t="shared" si="7"/>
        <v>66.960000000000008</v>
      </c>
      <c r="M19" s="37">
        <f t="shared" si="7"/>
        <v>919.20000000000016</v>
      </c>
      <c r="N19" s="37">
        <f t="shared" si="7"/>
        <v>66720.425250000015</v>
      </c>
      <c r="O19" s="37">
        <f t="shared" si="7"/>
        <v>3211.395</v>
      </c>
      <c r="P19" s="37">
        <f t="shared" si="7"/>
        <v>18254.925000000003</v>
      </c>
      <c r="Q19" s="37">
        <f t="shared" si="7"/>
        <v>40078.275000000001</v>
      </c>
      <c r="R19" s="37">
        <f t="shared" si="7"/>
        <v>4910.0250000000005</v>
      </c>
      <c r="S19" s="37">
        <f t="shared" si="7"/>
        <v>45.747750000000003</v>
      </c>
      <c r="T19" s="37">
        <f t="shared" si="7"/>
        <v>0</v>
      </c>
      <c r="U19" s="37">
        <f t="shared" si="7"/>
        <v>208.53000000000003</v>
      </c>
      <c r="V19" s="37">
        <f t="shared" si="7"/>
        <v>11.527500000000002</v>
      </c>
    </row>
    <row r="20" spans="1:22" x14ac:dyDescent="0.25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4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67639.625250000012</v>
      </c>
      <c r="O21" s="39"/>
      <c r="P21" s="39"/>
      <c r="Q21" s="39"/>
      <c r="R21" s="39"/>
      <c r="S21" s="39"/>
      <c r="T21" s="39"/>
      <c r="U21" s="39"/>
      <c r="V21" s="39"/>
    </row>
    <row r="22" spans="1:22" ht="17.5" x14ac:dyDescent="0.25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5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6" x14ac:dyDescent="0.3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5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5" x14ac:dyDescent="0.35">
      <c r="A26" s="50" t="s">
        <v>60</v>
      </c>
      <c r="B26" s="51"/>
      <c r="C26" s="51"/>
      <c r="D26" s="51"/>
      <c r="E26" s="208">
        <f>Inputs!J29+Inputs!K29</f>
        <v>12105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35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20256</v>
      </c>
      <c r="I27" s="30"/>
      <c r="J27" s="198">
        <f>$E$26*J28</f>
        <v>532.62</v>
      </c>
      <c r="K27" s="198">
        <f t="shared" ref="K27:S27" si="8">$E$26*K28</f>
        <v>3171.51</v>
      </c>
      <c r="L27" s="198">
        <f t="shared" si="8"/>
        <v>7275.1049999999996</v>
      </c>
      <c r="M27" s="198">
        <f t="shared" si="8"/>
        <v>968.4</v>
      </c>
      <c r="N27" s="198">
        <f t="shared" si="8"/>
        <v>12.105</v>
      </c>
      <c r="O27" s="198">
        <f t="shared" si="8"/>
        <v>0</v>
      </c>
      <c r="P27" s="198">
        <f t="shared" si="8"/>
        <v>72.63</v>
      </c>
      <c r="Q27" s="198">
        <f t="shared" si="8"/>
        <v>0</v>
      </c>
      <c r="R27" s="198">
        <f t="shared" si="8"/>
        <v>72.63</v>
      </c>
      <c r="S27" s="198">
        <f t="shared" si="8"/>
        <v>0</v>
      </c>
      <c r="T27" s="199">
        <f>SUM(J27:S27)</f>
        <v>12104.999999999998</v>
      </c>
    </row>
    <row r="28" spans="1:22" x14ac:dyDescent="0.25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1956</v>
      </c>
      <c r="I28" s="30"/>
      <c r="J28" s="197">
        <f>Inputs!B37</f>
        <v>4.3999999999999997E-2</v>
      </c>
      <c r="K28" s="197">
        <f>Inputs!B38</f>
        <v>0.26200000000000001</v>
      </c>
      <c r="L28" s="197">
        <f>Inputs!B39</f>
        <v>0.60099999999999998</v>
      </c>
      <c r="M28" s="197">
        <f>Inputs!B40</f>
        <v>0.08</v>
      </c>
      <c r="N28" s="197">
        <f>Inputs!B41</f>
        <v>1E-3</v>
      </c>
      <c r="O28" s="197">
        <v>0</v>
      </c>
      <c r="P28" s="197">
        <f>Inputs!B49</f>
        <v>6.0000000000000001E-3</v>
      </c>
      <c r="Q28" s="197">
        <f>Inputs!B42</f>
        <v>0</v>
      </c>
      <c r="R28" s="197">
        <f>Inputs!B50+Inputs!B48</f>
        <v>6.0000000000000001E-3</v>
      </c>
      <c r="S28" s="197">
        <f>Inputs!B47</f>
        <v>0</v>
      </c>
      <c r="T28" s="200">
        <f>SUM(J28:S28)</f>
        <v>1</v>
      </c>
    </row>
    <row r="30" spans="1:22" ht="15.5" x14ac:dyDescent="0.35">
      <c r="A30" s="50" t="s">
        <v>62</v>
      </c>
      <c r="B30" s="51"/>
      <c r="C30" s="51"/>
      <c r="D30" s="51"/>
      <c r="E30" s="208">
        <f>Inputs!J30</f>
        <v>23055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35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39064</v>
      </c>
      <c r="I31" s="26"/>
      <c r="J31" s="198">
        <f>$E30*J32</f>
        <v>1683.0149999999999</v>
      </c>
      <c r="K31" s="198">
        <f t="shared" ref="K31:S31" si="9">$E30*K32</f>
        <v>7423.71</v>
      </c>
      <c r="L31" s="198">
        <f t="shared" si="9"/>
        <v>12334.425000000001</v>
      </c>
      <c r="M31" s="198">
        <f t="shared" si="9"/>
        <v>1152.75</v>
      </c>
      <c r="N31" s="198">
        <f t="shared" si="9"/>
        <v>1.1527500000000002</v>
      </c>
      <c r="O31" s="198">
        <f t="shared" si="9"/>
        <v>0</v>
      </c>
      <c r="P31" s="198">
        <f t="shared" si="9"/>
        <v>69.165000000000006</v>
      </c>
      <c r="Q31" s="198">
        <f t="shared" si="9"/>
        <v>11.5275</v>
      </c>
      <c r="R31" s="198">
        <f t="shared" si="9"/>
        <v>345.82499999999999</v>
      </c>
      <c r="S31" s="198">
        <f t="shared" si="9"/>
        <v>23.055</v>
      </c>
      <c r="T31" s="199">
        <f>SUM(J31:S31)</f>
        <v>23044.625250000005</v>
      </c>
    </row>
    <row r="32" spans="1:22" x14ac:dyDescent="0.25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7.2999999999999995E-2</v>
      </c>
      <c r="K32" s="197">
        <f>Inputs!C38</f>
        <v>0.32200000000000001</v>
      </c>
      <c r="L32" s="197">
        <f>Inputs!C39</f>
        <v>0.53500000000000003</v>
      </c>
      <c r="M32" s="197">
        <f>Inputs!C40</f>
        <v>0.05</v>
      </c>
      <c r="N32" s="197">
        <f>Inputs!C41</f>
        <v>5.0000000000000002E-5</v>
      </c>
      <c r="O32" s="197">
        <v>0</v>
      </c>
      <c r="P32" s="197">
        <f>Inputs!C49</f>
        <v>3.0000000000000001E-3</v>
      </c>
      <c r="Q32" s="197">
        <f>Inputs!C42</f>
        <v>5.0000000000000001E-4</v>
      </c>
      <c r="R32" s="197">
        <f>Inputs!C48+Inputs!C50</f>
        <v>1.4999999999999999E-2</v>
      </c>
      <c r="S32" s="197">
        <f>Inputs!C47</f>
        <v>1E-3</v>
      </c>
      <c r="T32" s="200">
        <f>SUM(J32:S32)</f>
        <v>0.99955000000000005</v>
      </c>
    </row>
    <row r="34" spans="1:20" s="54" customFormat="1" ht="18" customHeight="1" x14ac:dyDescent="0.35">
      <c r="A34" s="50" t="s">
        <v>207</v>
      </c>
      <c r="B34" s="51"/>
      <c r="C34" s="51"/>
      <c r="D34" s="51"/>
      <c r="E34" s="208">
        <f>Inputs!J31+Inputs!K31</f>
        <v>21075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5">
      <c r="A35" s="3" t="s">
        <v>208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34710</v>
      </c>
      <c r="I35" s="30"/>
      <c r="J35" s="198">
        <f>$E34*J36</f>
        <v>379.34999999999997</v>
      </c>
      <c r="K35" s="198">
        <f t="shared" ref="K35:S35" si="10">$E34*K36</f>
        <v>4383.5999999999995</v>
      </c>
      <c r="L35" s="198">
        <f t="shared" si="10"/>
        <v>14099.175000000001</v>
      </c>
      <c r="M35" s="198">
        <f t="shared" si="10"/>
        <v>1875.675</v>
      </c>
      <c r="N35" s="198">
        <f t="shared" si="10"/>
        <v>21.074999999999999</v>
      </c>
      <c r="O35" s="198">
        <f t="shared" si="10"/>
        <v>0</v>
      </c>
      <c r="P35" s="198">
        <f t="shared" si="10"/>
        <v>21.074999999999999</v>
      </c>
      <c r="Q35" s="198">
        <f t="shared" si="10"/>
        <v>0</v>
      </c>
      <c r="R35" s="198">
        <f t="shared" si="10"/>
        <v>273.97500000000002</v>
      </c>
      <c r="S35" s="198">
        <f t="shared" si="10"/>
        <v>21.074999999999999</v>
      </c>
      <c r="T35" s="199">
        <f>SUM(J35:S35)</f>
        <v>21075</v>
      </c>
    </row>
    <row r="36" spans="1:20" x14ac:dyDescent="0.25">
      <c r="A36" s="3" t="s">
        <v>208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3940</v>
      </c>
      <c r="I36" s="30"/>
      <c r="J36" s="197">
        <f>Inputs!D37</f>
        <v>1.7999999999999999E-2</v>
      </c>
      <c r="K36" s="197">
        <f>Inputs!D38</f>
        <v>0.20799999999999999</v>
      </c>
      <c r="L36" s="197">
        <f>Inputs!D39</f>
        <v>0.66900000000000004</v>
      </c>
      <c r="M36" s="197">
        <f>Inputs!D40</f>
        <v>8.8999999999999996E-2</v>
      </c>
      <c r="N36" s="197">
        <f>Inputs!D41</f>
        <v>1E-3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1.3000000000000001E-2</v>
      </c>
      <c r="S36" s="197">
        <f>Inputs!D47</f>
        <v>1E-3</v>
      </c>
      <c r="T36" s="200">
        <f>SUM(J36:S36)</f>
        <v>1</v>
      </c>
    </row>
    <row r="37" spans="1:20" x14ac:dyDescent="0.25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35">
      <c r="A38" s="50" t="s">
        <v>61</v>
      </c>
      <c r="B38" s="51"/>
      <c r="C38" s="51"/>
      <c r="D38" s="51"/>
      <c r="E38" s="196">
        <f>Inputs!J32</f>
        <v>11415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5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18990</v>
      </c>
      <c r="I39" s="30"/>
      <c r="J39" s="198">
        <f>$E38*J40</f>
        <v>616.41</v>
      </c>
      <c r="K39" s="198">
        <f t="shared" ref="K39:S39" si="11">$E38*K40</f>
        <v>3276.1049999999996</v>
      </c>
      <c r="L39" s="198">
        <f t="shared" si="11"/>
        <v>6369.5700000000006</v>
      </c>
      <c r="M39" s="198">
        <f t="shared" si="11"/>
        <v>913.2</v>
      </c>
      <c r="N39" s="198">
        <f t="shared" si="11"/>
        <v>11.415000000000001</v>
      </c>
      <c r="O39" s="198">
        <f t="shared" si="11"/>
        <v>0</v>
      </c>
      <c r="P39" s="198">
        <f t="shared" si="11"/>
        <v>45.660000000000004</v>
      </c>
      <c r="Q39" s="198">
        <f t="shared" si="11"/>
        <v>0</v>
      </c>
      <c r="R39" s="198">
        <f t="shared" si="11"/>
        <v>159.81</v>
      </c>
      <c r="S39" s="198">
        <f t="shared" si="11"/>
        <v>22.830000000000002</v>
      </c>
      <c r="T39" s="199">
        <f>SUM(J39:S39)</f>
        <v>11415</v>
      </c>
    </row>
    <row r="40" spans="1:20" x14ac:dyDescent="0.25">
      <c r="A40" s="3"/>
      <c r="C40" s="24"/>
      <c r="D40" s="25"/>
      <c r="E40" s="25"/>
      <c r="F40" s="25"/>
      <c r="G40" s="25"/>
      <c r="H40" s="30"/>
      <c r="I40" s="30"/>
      <c r="J40" s="197">
        <f>Inputs!E37</f>
        <v>5.3999999999999999E-2</v>
      </c>
      <c r="K40" s="197">
        <f>Inputs!E38</f>
        <v>0.28699999999999998</v>
      </c>
      <c r="L40" s="197">
        <f>Inputs!E39</f>
        <v>0.55800000000000005</v>
      </c>
      <c r="M40" s="197">
        <f>Inputs!E40</f>
        <v>0.08</v>
      </c>
      <c r="N40" s="197">
        <f>Inputs!E41</f>
        <v>1E-3</v>
      </c>
      <c r="O40" s="197">
        <v>0</v>
      </c>
      <c r="P40" s="197">
        <f>Inputs!E49</f>
        <v>4.0000000000000001E-3</v>
      </c>
      <c r="Q40" s="197">
        <f>Inputs!E42</f>
        <v>0</v>
      </c>
      <c r="R40" s="197">
        <f>Inputs!E48+Inputs!E50</f>
        <v>1.4E-2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35"/>
    <row r="45" spans="1:20" x14ac:dyDescent="0.25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5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5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C000"/>
    <pageSetUpPr fitToPage="1"/>
  </sheetPr>
  <dimension ref="A1:AMJ50"/>
  <sheetViews>
    <sheetView zoomScale="70" zoomScaleNormal="70" workbookViewId="0">
      <selection activeCell="H9" sqref="H9"/>
    </sheetView>
  </sheetViews>
  <sheetFormatPr defaultColWidth="8.81640625" defaultRowHeight="12.5" x14ac:dyDescent="0.25"/>
  <cols>
    <col min="1" max="1" width="37.81640625" style="5" customWidth="1"/>
    <col min="2" max="2" width="4.1796875" style="5" customWidth="1"/>
    <col min="3" max="3" width="8.81640625" style="5"/>
    <col min="4" max="4" width="11.453125" style="5" customWidth="1"/>
    <col min="5" max="5" width="20.81640625" style="5" customWidth="1"/>
    <col min="6" max="6" width="13" style="5" customWidth="1"/>
    <col min="7" max="7" width="11.453125" style="5" customWidth="1"/>
    <col min="8" max="8" width="17" style="5" customWidth="1"/>
    <col min="9" max="9" width="14.1796875" style="5" customWidth="1"/>
    <col min="10" max="10" width="15" style="5" customWidth="1"/>
    <col min="11" max="11" width="9.7265625" style="5" bestFit="1" customWidth="1"/>
    <col min="12" max="12" width="9.81640625" style="5" customWidth="1"/>
    <col min="13" max="13" width="16" style="5" customWidth="1"/>
    <col min="14" max="14" width="14" style="5" customWidth="1"/>
    <col min="15" max="15" width="15" style="5" customWidth="1"/>
    <col min="16" max="16" width="14.26953125" style="5" customWidth="1"/>
    <col min="17" max="17" width="13" style="5" customWidth="1"/>
    <col min="18" max="18" width="12" style="5" customWidth="1"/>
    <col min="19" max="19" width="11.54296875" style="5" customWidth="1"/>
    <col min="20" max="20" width="10.453125" style="5" customWidth="1"/>
    <col min="21" max="21" width="9.81640625" style="5" customWidth="1"/>
    <col min="22" max="22" width="10.1796875" style="5" customWidth="1"/>
    <col min="23" max="1024" width="8.81640625" style="5"/>
  </cols>
  <sheetData>
    <row r="1" spans="1:22" ht="14.25" customHeight="1" x14ac:dyDescent="0.3">
      <c r="A1" s="6" t="s">
        <v>18</v>
      </c>
      <c r="B1" s="6"/>
      <c r="C1" s="7"/>
      <c r="D1" s="7"/>
      <c r="E1" s="7"/>
      <c r="F1" s="8" t="s">
        <v>19</v>
      </c>
      <c r="G1" s="171">
        <f>Inputs!C2</f>
        <v>1</v>
      </c>
      <c r="H1" s="7"/>
      <c r="I1" s="7"/>
      <c r="J1" s="7"/>
      <c r="L1" s="9"/>
      <c r="M1" s="6"/>
      <c r="N1" s="6"/>
    </row>
    <row r="2" spans="1:22" ht="14" x14ac:dyDescent="0.3">
      <c r="A2" s="6" t="s">
        <v>20</v>
      </c>
      <c r="B2" s="6"/>
      <c r="C2" s="7"/>
      <c r="D2" s="7"/>
      <c r="E2" s="7"/>
      <c r="F2" s="8" t="s">
        <v>21</v>
      </c>
      <c r="G2" s="236">
        <f>Inputs!C3</f>
        <v>45662.25</v>
      </c>
      <c r="H2" s="237"/>
      <c r="I2" s="7"/>
      <c r="J2" s="7"/>
      <c r="L2" s="10"/>
      <c r="P2" s="11"/>
    </row>
    <row r="3" spans="1:22" ht="13" x14ac:dyDescent="0.3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ht="13" x14ac:dyDescent="0.3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ht="13" x14ac:dyDescent="0.3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ht="13" x14ac:dyDescent="0.3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ht="13" x14ac:dyDescent="0.3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11039.027552674228</v>
      </c>
      <c r="I7" s="27">
        <v>0</v>
      </c>
      <c r="J7" s="26">
        <f>IFERROR(H7-I7,"")</f>
        <v>11039.027552674228</v>
      </c>
      <c r="K7" s="26">
        <f>IFERROR(($E$26/($H$27+$H$28)*$H$27)*R28,"")</f>
        <v>66.234165316045377</v>
      </c>
      <c r="L7" s="26">
        <f>IFERROR(($E$26/($H$27+$H$28)*$H$27)*S28,"")</f>
        <v>0</v>
      </c>
      <c r="M7" s="28">
        <f>IFERROR(K7+L7,"")</f>
        <v>66.234165316045377</v>
      </c>
      <c r="N7" s="29">
        <f>IFERROR(O7+P7+Q7+R7+S7+T7+U7+V7,"")</f>
        <v>10972.793387358182</v>
      </c>
      <c r="O7" s="26">
        <f t="shared" ref="O7:V7" si="0">IFERROR(($E$26/($H$27+$H$28)*$H$27)*J28,"")</f>
        <v>485.71721231766611</v>
      </c>
      <c r="P7" s="26">
        <f>IFERROR(($E$26/($H$27+$H$28)*$H$27)*K28,"")</f>
        <v>2892.2252188006482</v>
      </c>
      <c r="Q7" s="26">
        <f t="shared" si="0"/>
        <v>6634.4555591572116</v>
      </c>
      <c r="R7" s="26">
        <f t="shared" si="0"/>
        <v>883.1222042139384</v>
      </c>
      <c r="S7" s="26">
        <f t="shared" si="0"/>
        <v>11.039027552674231</v>
      </c>
      <c r="T7" s="26">
        <f t="shared" si="0"/>
        <v>0</v>
      </c>
      <c r="U7" s="26">
        <f t="shared" si="0"/>
        <v>66.234165316045377</v>
      </c>
      <c r="V7" s="26">
        <f t="shared" si="0"/>
        <v>0</v>
      </c>
    </row>
    <row r="8" spans="1:22" ht="13" x14ac:dyDescent="0.3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1065.9724473257702</v>
      </c>
      <c r="I8" s="27">
        <v>0</v>
      </c>
      <c r="J8" s="26">
        <f>IFERROR(H8-I8,"")</f>
        <v>1065.9724473257702</v>
      </c>
      <c r="K8" s="26">
        <f>IFERROR(($E$26/($H$27+$H$28)*$H$28)*R28,"")</f>
        <v>6.3958346839546198</v>
      </c>
      <c r="L8" s="26">
        <f>IFERROR(($E$26/($H$27+$H$28)*$H$28)*S28,"")</f>
        <v>0</v>
      </c>
      <c r="M8" s="28">
        <f>IFERROR(K8+L8,"")</f>
        <v>6.3958346839546198</v>
      </c>
      <c r="N8" s="29">
        <f>IFERROR(O8+P8+Q8+R8+S8+T8+U8+V8,"")</f>
        <v>1059.5766126418155</v>
      </c>
      <c r="O8" s="26">
        <f t="shared" ref="O8:V8" si="1">IFERROR(($E$26/($H$27+$H$28)*$H$28)*J28,"")</f>
        <v>46.902787682333873</v>
      </c>
      <c r="P8" s="26">
        <f t="shared" si="1"/>
        <v>279.28478119935176</v>
      </c>
      <c r="Q8" s="26">
        <f t="shared" si="1"/>
        <v>640.64944084278773</v>
      </c>
      <c r="R8" s="26">
        <f t="shared" si="1"/>
        <v>85.277795786061603</v>
      </c>
      <c r="S8" s="26">
        <f t="shared" si="1"/>
        <v>1.0659724473257699</v>
      </c>
      <c r="T8" s="26">
        <f t="shared" si="1"/>
        <v>0</v>
      </c>
      <c r="U8" s="26">
        <f t="shared" si="1"/>
        <v>6.3958346839546198</v>
      </c>
      <c r="V8" s="26">
        <f t="shared" si="1"/>
        <v>0</v>
      </c>
    </row>
    <row r="10" spans="1:22" ht="13" x14ac:dyDescent="0.3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23044.625250000005</v>
      </c>
      <c r="I10" s="27">
        <v>0</v>
      </c>
      <c r="J10" s="26">
        <f>IFERROR(H10-I10,"")</f>
        <v>23044.625250000005</v>
      </c>
      <c r="K10" s="26">
        <f>IFERROR(($E$30/($H$31+$H$32)*$H$31)*R32,"")</f>
        <v>345.82500000000005</v>
      </c>
      <c r="L10" s="26">
        <f>IFERROR(($E$30/($H$31+$H$32)*$H$31)*S32,"")</f>
        <v>23.055000000000003</v>
      </c>
      <c r="M10" s="28">
        <f>IFERROR(K10+L10,"")</f>
        <v>368.88000000000005</v>
      </c>
      <c r="N10" s="29">
        <f>IFERROR(O10+P10+Q10+R10+S10+T10+U10+V10,"")</f>
        <v>22675.745250000004</v>
      </c>
      <c r="O10" s="26">
        <f t="shared" ref="O10:V10" si="2">IFERROR(($E$30/($H$31+$H$32)*$H$31)*J32,"")</f>
        <v>1683.0150000000001</v>
      </c>
      <c r="P10" s="26">
        <f t="shared" si="2"/>
        <v>7423.7100000000009</v>
      </c>
      <c r="Q10" s="26">
        <f t="shared" si="2"/>
        <v>12334.425000000003</v>
      </c>
      <c r="R10" s="26">
        <f t="shared" si="2"/>
        <v>1152.7500000000002</v>
      </c>
      <c r="S10" s="26">
        <f t="shared" si="2"/>
        <v>1.1527500000000002</v>
      </c>
      <c r="T10" s="26">
        <f t="shared" si="2"/>
        <v>0</v>
      </c>
      <c r="U10" s="26">
        <f t="shared" si="2"/>
        <v>69.165000000000006</v>
      </c>
      <c r="V10" s="26">
        <f t="shared" si="2"/>
        <v>11.527500000000002</v>
      </c>
    </row>
    <row r="11" spans="1:22" ht="13" x14ac:dyDescent="0.3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ht="13" x14ac:dyDescent="0.3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18926.604139715404</v>
      </c>
      <c r="I13" s="27">
        <v>0</v>
      </c>
      <c r="J13" s="26">
        <f>IFERROR(H13-I13,"")</f>
        <v>18926.604139715404</v>
      </c>
      <c r="K13" s="26">
        <f>IFERROR(($E$34/($H$35+$H$36)*$H$35)*R36,"")</f>
        <v>246.04585381630017</v>
      </c>
      <c r="L13" s="26">
        <f>IFERROR(($E$34/($H$35+$H$36)*$H$35)*S36,"")</f>
        <v>18.926604139715398</v>
      </c>
      <c r="M13" s="28">
        <f>IFERROR(K13+L13,"")</f>
        <v>264.97245795601555</v>
      </c>
      <c r="N13" s="29">
        <f>IFERROR(O13+P13+Q13+R13+S13+T13+U13+V13,"")</f>
        <v>18661.631681759387</v>
      </c>
      <c r="O13" s="26">
        <f t="shared" ref="O13:V13" si="4">IFERROR(($E$34/($H$35+$H$36)*$H$35)*J36,"")</f>
        <v>340.67887451487712</v>
      </c>
      <c r="P13" s="26">
        <f t="shared" si="4"/>
        <v>3936.7336610608022</v>
      </c>
      <c r="Q13" s="26">
        <f t="shared" si="4"/>
        <v>12661.898169469601</v>
      </c>
      <c r="R13" s="26">
        <f t="shared" si="4"/>
        <v>1684.4677684346702</v>
      </c>
      <c r="S13" s="26">
        <f t="shared" si="4"/>
        <v>18.926604139715398</v>
      </c>
      <c r="T13" s="26">
        <f t="shared" si="4"/>
        <v>0</v>
      </c>
      <c r="U13" s="26">
        <f t="shared" si="4"/>
        <v>18.926604139715398</v>
      </c>
      <c r="V13" s="26">
        <f t="shared" si="4"/>
        <v>0</v>
      </c>
    </row>
    <row r="14" spans="1:22" ht="13" x14ac:dyDescent="0.3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2148.3958602846051</v>
      </c>
      <c r="I14" s="27">
        <v>0</v>
      </c>
      <c r="J14" s="26">
        <f>IFERROR(H14-I14,"")</f>
        <v>2148.3958602846051</v>
      </c>
      <c r="K14" s="26">
        <f>IFERROR(($E$34/($H$35+$H$36)*$H$36)*R36,"")</f>
        <v>27.929146183699874</v>
      </c>
      <c r="L14" s="26">
        <f>IFERROR(($E$34/($H$35+$H$36)*$H$36)*S36,"")</f>
        <v>2.1483958602846056</v>
      </c>
      <c r="M14" s="28">
        <f>IFERROR(K14+L14,"")</f>
        <v>30.077542043984479</v>
      </c>
      <c r="N14" s="29">
        <f>IFERROR(O14+P14+Q14+R14+S14+T14+U14+V14,"")</f>
        <v>2118.3183182406206</v>
      </c>
      <c r="O14" s="26">
        <f t="shared" ref="O14:V14" si="5">IFERROR(($E$34/($H$35+$H$36)*$H$36)*J36,"")</f>
        <v>38.6711254851229</v>
      </c>
      <c r="P14" s="26">
        <f t="shared" si="5"/>
        <v>446.86633893919793</v>
      </c>
      <c r="Q14" s="26">
        <f t="shared" si="5"/>
        <v>1437.2768305304012</v>
      </c>
      <c r="R14" s="26">
        <f t="shared" si="5"/>
        <v>191.20723156532989</v>
      </c>
      <c r="S14" s="26">
        <f t="shared" si="5"/>
        <v>2.1483958602846056</v>
      </c>
      <c r="T14" s="26">
        <f t="shared" si="5"/>
        <v>0</v>
      </c>
      <c r="U14" s="26">
        <f t="shared" si="5"/>
        <v>2.1483958602846056</v>
      </c>
      <c r="V14" s="26">
        <f t="shared" si="5"/>
        <v>0</v>
      </c>
    </row>
    <row r="15" spans="1:22" ht="13" x14ac:dyDescent="0.3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ht="13" x14ac:dyDescent="0.3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11415</v>
      </c>
      <c r="I16" s="27">
        <v>0</v>
      </c>
      <c r="J16" s="26">
        <f>IFERROR(H16-I16,"")</f>
        <v>11415</v>
      </c>
      <c r="K16" s="26">
        <f>IFERROR(($E$38/($H$39)*$H$39)*R40,"")</f>
        <v>159.81</v>
      </c>
      <c r="L16" s="26">
        <f>IFERROR(($E$38/($H$39)*$H$39)*S40,"")</f>
        <v>22.830000000000002</v>
      </c>
      <c r="M16" s="28">
        <f>IFERROR(K16+L16,"")</f>
        <v>182.64000000000001</v>
      </c>
      <c r="N16" s="29">
        <f>IFERROR(O16+P16+Q16+R16+S16+T16+U16+V16,"")</f>
        <v>11232.36</v>
      </c>
      <c r="O16" s="26">
        <f t="shared" ref="O16:V16" si="6">IFERROR(($E$38/($H$39)*$H$39)*J40,"")</f>
        <v>616.41</v>
      </c>
      <c r="P16" s="26">
        <f t="shared" si="6"/>
        <v>3276.1049999999996</v>
      </c>
      <c r="Q16" s="26">
        <f t="shared" si="6"/>
        <v>6369.5700000000006</v>
      </c>
      <c r="R16" s="26">
        <f t="shared" si="6"/>
        <v>913.2</v>
      </c>
      <c r="S16" s="26">
        <f t="shared" si="6"/>
        <v>11.415000000000001</v>
      </c>
      <c r="T16" s="26">
        <f t="shared" si="6"/>
        <v>0</v>
      </c>
      <c r="U16" s="26">
        <f t="shared" si="6"/>
        <v>45.660000000000004</v>
      </c>
      <c r="V16" s="26">
        <f t="shared" si="6"/>
        <v>0</v>
      </c>
    </row>
    <row r="18" spans="1:22" ht="13" x14ac:dyDescent="0.3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4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67639.625250000012</v>
      </c>
      <c r="I19" s="37">
        <f t="shared" si="7"/>
        <v>0</v>
      </c>
      <c r="J19" s="37">
        <f t="shared" si="7"/>
        <v>67639.625250000012</v>
      </c>
      <c r="K19" s="37">
        <f t="shared" si="7"/>
        <v>852.24</v>
      </c>
      <c r="L19" s="37">
        <f t="shared" si="7"/>
        <v>66.960000000000008</v>
      </c>
      <c r="M19" s="37">
        <f t="shared" si="7"/>
        <v>919.20000000000016</v>
      </c>
      <c r="N19" s="37">
        <f t="shared" si="7"/>
        <v>66720.425250000015</v>
      </c>
      <c r="O19" s="37">
        <f t="shared" si="7"/>
        <v>3211.395</v>
      </c>
      <c r="P19" s="37">
        <f t="shared" si="7"/>
        <v>18254.925000000003</v>
      </c>
      <c r="Q19" s="37">
        <f t="shared" si="7"/>
        <v>40078.275000000001</v>
      </c>
      <c r="R19" s="37">
        <f t="shared" si="7"/>
        <v>4910.0250000000005</v>
      </c>
      <c r="S19" s="37">
        <f t="shared" si="7"/>
        <v>45.747750000000003</v>
      </c>
      <c r="T19" s="37">
        <f t="shared" si="7"/>
        <v>0</v>
      </c>
      <c r="U19" s="37">
        <f t="shared" si="7"/>
        <v>208.53000000000003</v>
      </c>
      <c r="V19" s="37">
        <f t="shared" si="7"/>
        <v>11.527500000000002</v>
      </c>
    </row>
    <row r="20" spans="1:22" x14ac:dyDescent="0.25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4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67639.625250000012</v>
      </c>
      <c r="O21" s="39"/>
      <c r="P21" s="39"/>
      <c r="Q21" s="39"/>
      <c r="R21" s="39"/>
      <c r="S21" s="39"/>
      <c r="T21" s="39"/>
      <c r="U21" s="39"/>
      <c r="V21" s="39"/>
    </row>
    <row r="22" spans="1:22" ht="17.5" x14ac:dyDescent="0.25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5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6" x14ac:dyDescent="0.3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5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5" x14ac:dyDescent="0.35">
      <c r="A26" s="50" t="s">
        <v>60</v>
      </c>
      <c r="B26" s="51"/>
      <c r="C26" s="51"/>
      <c r="D26" s="51"/>
      <c r="E26" s="208">
        <f>Inputs!J29+Inputs!K29</f>
        <v>12105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35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20256</v>
      </c>
      <c r="I27" s="30"/>
      <c r="J27" s="198">
        <f>$E$26*J28</f>
        <v>532.62</v>
      </c>
      <c r="K27" s="198">
        <f t="shared" ref="K27:S27" si="8">$E$26*K28</f>
        <v>3171.51</v>
      </c>
      <c r="L27" s="198">
        <f t="shared" si="8"/>
        <v>7275.1049999999996</v>
      </c>
      <c r="M27" s="198">
        <f t="shared" si="8"/>
        <v>968.4</v>
      </c>
      <c r="N27" s="198">
        <f t="shared" si="8"/>
        <v>12.105</v>
      </c>
      <c r="O27" s="198">
        <f t="shared" si="8"/>
        <v>0</v>
      </c>
      <c r="P27" s="198">
        <f t="shared" si="8"/>
        <v>72.63</v>
      </c>
      <c r="Q27" s="198">
        <f t="shared" si="8"/>
        <v>0</v>
      </c>
      <c r="R27" s="198">
        <f t="shared" si="8"/>
        <v>72.63</v>
      </c>
      <c r="S27" s="198">
        <f t="shared" si="8"/>
        <v>0</v>
      </c>
      <c r="T27" s="199">
        <f>SUM(J27:S27)</f>
        <v>12104.999999999998</v>
      </c>
    </row>
    <row r="28" spans="1:22" x14ac:dyDescent="0.25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1956</v>
      </c>
      <c r="I28" s="30"/>
      <c r="J28" s="197">
        <f>Inputs!B37</f>
        <v>4.3999999999999997E-2</v>
      </c>
      <c r="K28" s="197">
        <f>Inputs!B38</f>
        <v>0.26200000000000001</v>
      </c>
      <c r="L28" s="197">
        <f>Inputs!B39</f>
        <v>0.60099999999999998</v>
      </c>
      <c r="M28" s="197">
        <f>Inputs!B40</f>
        <v>0.08</v>
      </c>
      <c r="N28" s="197">
        <f>Inputs!B41</f>
        <v>1E-3</v>
      </c>
      <c r="O28" s="197">
        <v>0</v>
      </c>
      <c r="P28" s="197">
        <f>Inputs!B49</f>
        <v>6.0000000000000001E-3</v>
      </c>
      <c r="Q28" s="197">
        <f>Inputs!B42</f>
        <v>0</v>
      </c>
      <c r="R28" s="197">
        <f>Inputs!B50+Inputs!B48</f>
        <v>6.0000000000000001E-3</v>
      </c>
      <c r="S28" s="197">
        <f>Inputs!B47</f>
        <v>0</v>
      </c>
      <c r="T28" s="200">
        <f>SUM(J28:S28)</f>
        <v>1</v>
      </c>
    </row>
    <row r="30" spans="1:22" ht="15.5" x14ac:dyDescent="0.35">
      <c r="A30" s="50" t="s">
        <v>62</v>
      </c>
      <c r="B30" s="51"/>
      <c r="C30" s="51"/>
      <c r="D30" s="51"/>
      <c r="E30" s="208">
        <f>Inputs!J30</f>
        <v>23055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35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39064</v>
      </c>
      <c r="I31" s="26"/>
      <c r="J31" s="198">
        <f>$E30*J32</f>
        <v>1683.0149999999999</v>
      </c>
      <c r="K31" s="198">
        <f t="shared" ref="K31:S31" si="9">$E30*K32</f>
        <v>7423.71</v>
      </c>
      <c r="L31" s="198">
        <f t="shared" si="9"/>
        <v>12334.425000000001</v>
      </c>
      <c r="M31" s="198">
        <f t="shared" si="9"/>
        <v>1152.75</v>
      </c>
      <c r="N31" s="198">
        <f t="shared" si="9"/>
        <v>1.1527500000000002</v>
      </c>
      <c r="O31" s="198">
        <f t="shared" si="9"/>
        <v>0</v>
      </c>
      <c r="P31" s="198">
        <f t="shared" si="9"/>
        <v>69.165000000000006</v>
      </c>
      <c r="Q31" s="198">
        <f t="shared" si="9"/>
        <v>11.5275</v>
      </c>
      <c r="R31" s="198">
        <f t="shared" si="9"/>
        <v>345.82499999999999</v>
      </c>
      <c r="S31" s="198">
        <f t="shared" si="9"/>
        <v>23.055</v>
      </c>
      <c r="T31" s="199">
        <f>SUM(J31:S31)</f>
        <v>23044.625250000005</v>
      </c>
    </row>
    <row r="32" spans="1:22" x14ac:dyDescent="0.25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7.2999999999999995E-2</v>
      </c>
      <c r="K32" s="197">
        <f>Inputs!C38</f>
        <v>0.32200000000000001</v>
      </c>
      <c r="L32" s="197">
        <f>Inputs!C39</f>
        <v>0.53500000000000003</v>
      </c>
      <c r="M32" s="197">
        <f>Inputs!C40</f>
        <v>0.05</v>
      </c>
      <c r="N32" s="197">
        <f>Inputs!C41</f>
        <v>5.0000000000000002E-5</v>
      </c>
      <c r="O32" s="197">
        <v>0</v>
      </c>
      <c r="P32" s="197">
        <f>Inputs!C49</f>
        <v>3.0000000000000001E-3</v>
      </c>
      <c r="Q32" s="197">
        <f>Inputs!C42</f>
        <v>5.0000000000000001E-4</v>
      </c>
      <c r="R32" s="197">
        <f>Inputs!C48+Inputs!C50</f>
        <v>1.4999999999999999E-2</v>
      </c>
      <c r="S32" s="197">
        <f>Inputs!C47</f>
        <v>1E-3</v>
      </c>
      <c r="T32" s="200">
        <f>SUM(J32:S32)</f>
        <v>0.99955000000000005</v>
      </c>
    </row>
    <row r="34" spans="1:20" s="54" customFormat="1" ht="18" customHeight="1" x14ac:dyDescent="0.35">
      <c r="A34" s="50" t="s">
        <v>207</v>
      </c>
      <c r="B34" s="51"/>
      <c r="C34" s="51"/>
      <c r="D34" s="51"/>
      <c r="E34" s="208">
        <f>Inputs!J31+Inputs!K31</f>
        <v>21075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5">
      <c r="A35" s="3" t="s">
        <v>208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34710</v>
      </c>
      <c r="I35" s="30"/>
      <c r="J35" s="198">
        <f>$E34*J36</f>
        <v>379.34999999999997</v>
      </c>
      <c r="K35" s="198">
        <f t="shared" ref="K35:S35" si="10">$E34*K36</f>
        <v>4383.5999999999995</v>
      </c>
      <c r="L35" s="198">
        <f t="shared" si="10"/>
        <v>14099.175000000001</v>
      </c>
      <c r="M35" s="198">
        <f t="shared" si="10"/>
        <v>1875.675</v>
      </c>
      <c r="N35" s="198">
        <f t="shared" si="10"/>
        <v>21.074999999999999</v>
      </c>
      <c r="O35" s="198">
        <f t="shared" si="10"/>
        <v>0</v>
      </c>
      <c r="P35" s="198">
        <f t="shared" si="10"/>
        <v>21.074999999999999</v>
      </c>
      <c r="Q35" s="198">
        <f t="shared" si="10"/>
        <v>0</v>
      </c>
      <c r="R35" s="198">
        <f t="shared" si="10"/>
        <v>273.97500000000002</v>
      </c>
      <c r="S35" s="198">
        <f t="shared" si="10"/>
        <v>21.074999999999999</v>
      </c>
      <c r="T35" s="199">
        <f>SUM(J35:S35)</f>
        <v>21075</v>
      </c>
    </row>
    <row r="36" spans="1:20" x14ac:dyDescent="0.25">
      <c r="A36" s="3" t="s">
        <v>208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3940</v>
      </c>
      <c r="I36" s="30"/>
      <c r="J36" s="197">
        <f>Inputs!D37</f>
        <v>1.7999999999999999E-2</v>
      </c>
      <c r="K36" s="197">
        <f>Inputs!D38</f>
        <v>0.20799999999999999</v>
      </c>
      <c r="L36" s="197">
        <f>Inputs!D39</f>
        <v>0.66900000000000004</v>
      </c>
      <c r="M36" s="197">
        <f>Inputs!D40</f>
        <v>8.8999999999999996E-2</v>
      </c>
      <c r="N36" s="197">
        <f>Inputs!D41</f>
        <v>1E-3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1.3000000000000001E-2</v>
      </c>
      <c r="S36" s="197">
        <f>Inputs!D47</f>
        <v>1E-3</v>
      </c>
      <c r="T36" s="200">
        <f>SUM(J36:S36)</f>
        <v>1</v>
      </c>
    </row>
    <row r="37" spans="1:20" x14ac:dyDescent="0.25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35">
      <c r="A38" s="50" t="s">
        <v>61</v>
      </c>
      <c r="B38" s="51"/>
      <c r="C38" s="51"/>
      <c r="D38" s="51"/>
      <c r="E38" s="196">
        <f>Inputs!J32</f>
        <v>11415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5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18990</v>
      </c>
      <c r="I39" s="30"/>
      <c r="J39" s="198">
        <f>$E38*J40</f>
        <v>616.41</v>
      </c>
      <c r="K39" s="198">
        <f t="shared" ref="K39:S39" si="11">$E38*K40</f>
        <v>3276.1049999999996</v>
      </c>
      <c r="L39" s="198">
        <f t="shared" si="11"/>
        <v>6369.5700000000006</v>
      </c>
      <c r="M39" s="198">
        <f t="shared" si="11"/>
        <v>913.2</v>
      </c>
      <c r="N39" s="198">
        <f t="shared" si="11"/>
        <v>11.415000000000001</v>
      </c>
      <c r="O39" s="198">
        <f t="shared" si="11"/>
        <v>0</v>
      </c>
      <c r="P39" s="198">
        <f t="shared" si="11"/>
        <v>45.660000000000004</v>
      </c>
      <c r="Q39" s="198">
        <f t="shared" si="11"/>
        <v>0</v>
      </c>
      <c r="R39" s="198">
        <f t="shared" si="11"/>
        <v>159.81</v>
      </c>
      <c r="S39" s="198">
        <f t="shared" si="11"/>
        <v>22.830000000000002</v>
      </c>
      <c r="T39" s="199">
        <f>SUM(J39:S39)</f>
        <v>11415</v>
      </c>
    </row>
    <row r="40" spans="1:20" x14ac:dyDescent="0.25">
      <c r="A40" s="3"/>
      <c r="C40" s="24"/>
      <c r="D40" s="25"/>
      <c r="E40" s="25"/>
      <c r="F40" s="25"/>
      <c r="G40" s="25"/>
      <c r="H40" s="30"/>
      <c r="I40" s="30"/>
      <c r="J40" s="197">
        <f>Inputs!E37</f>
        <v>5.3999999999999999E-2</v>
      </c>
      <c r="K40" s="197">
        <f>Inputs!E38</f>
        <v>0.28699999999999998</v>
      </c>
      <c r="L40" s="197">
        <f>Inputs!E39</f>
        <v>0.55800000000000005</v>
      </c>
      <c r="M40" s="197">
        <f>Inputs!E40</f>
        <v>0.08</v>
      </c>
      <c r="N40" s="197">
        <f>Inputs!E41</f>
        <v>1E-3</v>
      </c>
      <c r="O40" s="197">
        <v>0</v>
      </c>
      <c r="P40" s="197">
        <f>Inputs!E49</f>
        <v>4.0000000000000001E-3</v>
      </c>
      <c r="Q40" s="197">
        <f>Inputs!E42</f>
        <v>0</v>
      </c>
      <c r="R40" s="197">
        <f>Inputs!E48+Inputs!E50</f>
        <v>1.4E-2</v>
      </c>
      <c r="S40" s="197">
        <f>Inputs!E47</f>
        <v>2E-3</v>
      </c>
      <c r="T40" s="200">
        <f>SUM(J40:S40)</f>
        <v>1</v>
      </c>
    </row>
    <row r="43" spans="1:20" s="54" customFormat="1" ht="18" customHeight="1" x14ac:dyDescent="0.35"/>
    <row r="45" spans="1:20" x14ac:dyDescent="0.25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5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5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C000"/>
    <pageSetUpPr fitToPage="1"/>
  </sheetPr>
  <dimension ref="A1:AMJ53"/>
  <sheetViews>
    <sheetView topLeftCell="A4" zoomScaleNormal="100" workbookViewId="0">
      <selection activeCell="D19" sqref="D19"/>
    </sheetView>
  </sheetViews>
  <sheetFormatPr defaultColWidth="11" defaultRowHeight="15.5" x14ac:dyDescent="0.35"/>
  <cols>
    <col min="1" max="1" width="27.54296875" style="61" customWidth="1"/>
    <col min="2" max="2" width="14.26953125" style="61" customWidth="1"/>
    <col min="3" max="4" width="14.7265625" style="61" customWidth="1"/>
    <col min="5" max="5" width="12.54296875" style="61" customWidth="1"/>
    <col min="6" max="6" width="23.54296875" style="61" customWidth="1"/>
    <col min="7" max="7" width="15.26953125" style="61" customWidth="1"/>
    <col min="8" max="8" width="13" style="61" customWidth="1"/>
    <col min="9" max="9" width="11.54296875" style="61" customWidth="1"/>
    <col min="10" max="257" width="11" style="61"/>
    <col min="258" max="258" width="24.1796875" style="61" customWidth="1"/>
    <col min="259" max="259" width="14.26953125" style="61" customWidth="1"/>
    <col min="260" max="260" width="14.7265625" style="61" customWidth="1"/>
    <col min="261" max="261" width="12.54296875" style="61" customWidth="1"/>
    <col min="262" max="262" width="20.1796875" style="61" customWidth="1"/>
    <col min="263" max="263" width="15.26953125" style="61" customWidth="1"/>
    <col min="264" max="264" width="13" style="61" customWidth="1"/>
    <col min="265" max="265" width="11.54296875" style="61" customWidth="1"/>
    <col min="266" max="513" width="11" style="61"/>
    <col min="514" max="514" width="24.1796875" style="61" customWidth="1"/>
    <col min="515" max="515" width="14.26953125" style="61" customWidth="1"/>
    <col min="516" max="516" width="14.7265625" style="61" customWidth="1"/>
    <col min="517" max="517" width="12.54296875" style="61" customWidth="1"/>
    <col min="518" max="518" width="20.1796875" style="61" customWidth="1"/>
    <col min="519" max="519" width="15.26953125" style="61" customWidth="1"/>
    <col min="520" max="520" width="13" style="61" customWidth="1"/>
    <col min="521" max="521" width="11.54296875" style="61" customWidth="1"/>
    <col min="522" max="769" width="11" style="61"/>
    <col min="770" max="770" width="24.1796875" style="61" customWidth="1"/>
    <col min="771" max="771" width="14.26953125" style="61" customWidth="1"/>
    <col min="772" max="772" width="14.7265625" style="61" customWidth="1"/>
    <col min="773" max="773" width="12.54296875" style="61" customWidth="1"/>
    <col min="774" max="774" width="20.1796875" style="61" customWidth="1"/>
    <col min="775" max="775" width="15.26953125" style="61" customWidth="1"/>
    <col min="776" max="776" width="13" style="61" customWidth="1"/>
    <col min="777" max="777" width="11.54296875" style="61" customWidth="1"/>
    <col min="778" max="1024" width="11" style="61"/>
  </cols>
  <sheetData>
    <row r="1" spans="1:12" ht="21" customHeight="1" x14ac:dyDescent="0.4">
      <c r="A1" s="238" t="s">
        <v>64</v>
      </c>
      <c r="B1" s="238"/>
      <c r="C1" s="238"/>
      <c r="D1" s="238"/>
      <c r="E1" s="238"/>
      <c r="F1" s="238"/>
      <c r="G1" s="238"/>
      <c r="H1" s="62"/>
      <c r="I1" s="63"/>
    </row>
    <row r="2" spans="1:12" x14ac:dyDescent="0.35">
      <c r="A2" s="64"/>
      <c r="B2" s="64"/>
      <c r="C2" s="64"/>
      <c r="D2" s="64"/>
      <c r="E2" s="64"/>
      <c r="F2" s="64"/>
      <c r="G2" s="64"/>
    </row>
    <row r="3" spans="1:12" ht="15.65" customHeight="1" x14ac:dyDescent="0.35">
      <c r="A3" s="65" t="s">
        <v>65</v>
      </c>
      <c r="B3" s="207">
        <f>Inputs!C3</f>
        <v>45662.25</v>
      </c>
      <c r="C3" s="64"/>
      <c r="D3" s="64"/>
      <c r="E3" s="64"/>
      <c r="F3" s="64"/>
      <c r="G3" s="64"/>
      <c r="H3" s="66"/>
      <c r="I3" s="67"/>
    </row>
    <row r="4" spans="1:12" ht="15.65" customHeight="1" x14ac:dyDescent="0.35">
      <c r="A4" s="68"/>
      <c r="B4" s="64"/>
      <c r="C4" s="64"/>
      <c r="D4" s="64"/>
      <c r="E4" s="64"/>
      <c r="F4" s="64"/>
      <c r="G4" s="64"/>
    </row>
    <row r="5" spans="1:12" ht="15.65" customHeight="1" x14ac:dyDescent="0.3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5" customHeight="1" x14ac:dyDescent="0.3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5" customHeight="1" x14ac:dyDescent="0.3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35">
      <c r="A8" s="64"/>
      <c r="B8" s="64"/>
      <c r="C8" s="64"/>
      <c r="D8" s="64"/>
      <c r="E8" s="64"/>
      <c r="F8" s="64"/>
      <c r="G8" s="64"/>
      <c r="L8" s="64"/>
    </row>
    <row r="9" spans="1:12" ht="15.65" customHeight="1" x14ac:dyDescent="0.35">
      <c r="A9" s="65" t="s">
        <v>71</v>
      </c>
      <c r="B9" s="71" t="s">
        <v>72</v>
      </c>
      <c r="C9" s="68"/>
      <c r="D9" s="68"/>
      <c r="E9" s="206">
        <f>Inputs!C2</f>
        <v>1</v>
      </c>
      <c r="F9" s="64"/>
      <c r="G9" s="64"/>
      <c r="L9" s="64"/>
    </row>
    <row r="10" spans="1:12" ht="16.149999999999999" customHeight="1" x14ac:dyDescent="0.35">
      <c r="A10" s="72"/>
      <c r="B10" s="73"/>
      <c r="C10" s="74"/>
      <c r="D10" s="74"/>
      <c r="E10" s="75"/>
      <c r="F10" s="75"/>
      <c r="G10" s="75"/>
      <c r="L10" s="64"/>
    </row>
    <row r="11" spans="1:12" x14ac:dyDescent="0.35">
      <c r="A11" s="64"/>
      <c r="B11" s="64"/>
      <c r="C11" s="64"/>
      <c r="D11" s="64"/>
      <c r="E11" s="64"/>
      <c r="F11" s="64"/>
      <c r="G11" s="64"/>
      <c r="L11" s="64"/>
    </row>
    <row r="12" spans="1:12" ht="17.5" customHeight="1" x14ac:dyDescent="0.35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35">
      <c r="A13" s="82" t="s">
        <v>75</v>
      </c>
      <c r="B13" s="219">
        <f>C13/15</f>
        <v>1860</v>
      </c>
      <c r="C13" s="220">
        <f>'Grade out Information'!X26</f>
        <v>27900</v>
      </c>
      <c r="D13" s="81"/>
      <c r="E13" s="85"/>
      <c r="F13" s="85"/>
      <c r="G13" s="81"/>
      <c r="L13" s="64"/>
    </row>
    <row r="14" spans="1:12" x14ac:dyDescent="0.35">
      <c r="A14" s="82"/>
      <c r="B14" s="83"/>
      <c r="C14" s="84"/>
      <c r="D14" s="81"/>
      <c r="E14" s="85"/>
      <c r="F14" s="85"/>
      <c r="G14" s="81"/>
      <c r="L14" s="64"/>
    </row>
    <row r="15" spans="1:12" x14ac:dyDescent="0.35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35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35">
      <c r="A17" s="82"/>
      <c r="B17" s="83"/>
      <c r="C17" s="84"/>
      <c r="D17" s="81"/>
      <c r="E17" s="86"/>
      <c r="F17" s="87"/>
      <c r="G17" s="81"/>
      <c r="L17" s="64"/>
    </row>
    <row r="18" spans="1:12" x14ac:dyDescent="0.35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35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35">
      <c r="A20" s="82"/>
      <c r="B20" s="83"/>
      <c r="C20" s="84"/>
      <c r="D20" s="81"/>
      <c r="E20" s="86"/>
      <c r="F20" s="87"/>
      <c r="G20" s="81"/>
      <c r="L20" s="64"/>
    </row>
    <row r="21" spans="1:12" x14ac:dyDescent="0.35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35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35">
      <c r="A23" s="82"/>
      <c r="B23" s="83"/>
      <c r="C23" s="84"/>
      <c r="D23" s="81"/>
      <c r="E23" s="86"/>
      <c r="F23" s="87"/>
      <c r="G23" s="81"/>
      <c r="L23" s="64"/>
    </row>
    <row r="24" spans="1:12" x14ac:dyDescent="0.35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35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35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35">
      <c r="A27" s="89" t="s">
        <v>84</v>
      </c>
      <c r="B27" s="221">
        <f>SUM(B13:B26)</f>
        <v>1920</v>
      </c>
      <c r="C27" s="222">
        <f>SUM(C13:C26)</f>
        <v>28800</v>
      </c>
      <c r="D27" s="91"/>
      <c r="E27" s="92"/>
      <c r="F27" s="93"/>
      <c r="G27" s="81"/>
      <c r="L27" s="64"/>
    </row>
    <row r="28" spans="1:12" ht="15.65" customHeight="1" x14ac:dyDescent="0.35">
      <c r="A28" s="81"/>
      <c r="B28" s="81"/>
      <c r="C28" s="94"/>
      <c r="D28" s="94"/>
      <c r="E28" s="95"/>
      <c r="F28" s="94"/>
      <c r="G28" s="96"/>
      <c r="L28" s="64"/>
    </row>
    <row r="29" spans="1:12" ht="15.65" customHeight="1" x14ac:dyDescent="0.35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5" customHeight="1" x14ac:dyDescent="0.35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35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35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35">
      <c r="A33" s="82"/>
      <c r="B33" s="111"/>
      <c r="C33" s="111"/>
      <c r="D33" s="111"/>
      <c r="E33" s="84"/>
      <c r="F33" s="112"/>
      <c r="G33" s="84"/>
    </row>
    <row r="34" spans="1:7" x14ac:dyDescent="0.35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35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35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35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35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35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35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35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35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5" customHeight="1" x14ac:dyDescent="0.35">
      <c r="A43" s="64"/>
      <c r="B43" s="64"/>
      <c r="C43" s="64"/>
      <c r="D43" s="64"/>
      <c r="E43" s="64"/>
      <c r="F43" s="64"/>
      <c r="G43" s="64"/>
    </row>
    <row r="44" spans="1:7" ht="17.5" customHeight="1" x14ac:dyDescent="0.35">
      <c r="A44" s="115"/>
      <c r="B44" s="116"/>
      <c r="C44" s="64"/>
      <c r="D44" s="64"/>
      <c r="E44" s="64"/>
      <c r="F44" s="64"/>
      <c r="G44" s="64"/>
    </row>
    <row r="45" spans="1:7" x14ac:dyDescent="0.35">
      <c r="A45" s="117"/>
      <c r="B45" s="118"/>
      <c r="C45" s="64"/>
      <c r="D45" s="64"/>
      <c r="E45" s="64"/>
      <c r="F45" s="64"/>
      <c r="G45" s="64"/>
    </row>
    <row r="46" spans="1:7" ht="17.5" customHeight="1" x14ac:dyDescent="0.35">
      <c r="A46" s="117"/>
      <c r="B46" s="118"/>
      <c r="C46" s="119"/>
      <c r="D46" s="119"/>
      <c r="E46" s="119"/>
      <c r="G46" s="64"/>
    </row>
    <row r="47" spans="1:7" x14ac:dyDescent="0.35">
      <c r="A47" s="117"/>
      <c r="B47" s="118"/>
      <c r="C47" s="64"/>
      <c r="D47" s="64"/>
      <c r="E47" s="64"/>
      <c r="F47" s="64"/>
      <c r="G47" s="64"/>
    </row>
    <row r="48" spans="1:7" x14ac:dyDescent="0.35">
      <c r="A48" s="117"/>
      <c r="B48" s="118"/>
      <c r="C48" s="64"/>
      <c r="D48" s="64"/>
      <c r="E48" s="64"/>
      <c r="F48" s="64"/>
      <c r="G48" s="64"/>
    </row>
    <row r="49" spans="1:7" x14ac:dyDescent="0.35">
      <c r="A49" s="117"/>
      <c r="B49" s="118"/>
      <c r="C49" s="64"/>
      <c r="D49" s="64"/>
      <c r="E49" s="64"/>
      <c r="F49" s="64"/>
      <c r="G49" s="64"/>
    </row>
    <row r="50" spans="1:7" x14ac:dyDescent="0.35">
      <c r="A50" s="117"/>
      <c r="B50" s="118"/>
    </row>
    <row r="51" spans="1:7" x14ac:dyDescent="0.35">
      <c r="A51" s="117"/>
      <c r="B51" s="118"/>
    </row>
    <row r="52" spans="1:7" x14ac:dyDescent="0.35">
      <c r="A52" s="117"/>
      <c r="B52" s="118"/>
    </row>
    <row r="53" spans="1:7" x14ac:dyDescent="0.3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C000"/>
    <pageSetUpPr fitToPage="1"/>
  </sheetPr>
  <dimension ref="A1:AD38"/>
  <sheetViews>
    <sheetView topLeftCell="A4" zoomScale="90" zoomScaleNormal="90" workbookViewId="0">
      <selection activeCell="B15" sqref="B15:B18"/>
    </sheetView>
  </sheetViews>
  <sheetFormatPr defaultColWidth="8.7265625" defaultRowHeight="12.5" x14ac:dyDescent="0.25"/>
  <cols>
    <col min="1" max="1" width="8" customWidth="1"/>
    <col min="2" max="2" width="43.54296875" customWidth="1"/>
    <col min="4" max="13" width="12.7265625" bestFit="1" customWidth="1"/>
    <col min="14" max="15" width="9" bestFit="1" customWidth="1"/>
    <col min="16" max="16" width="8.81640625" bestFit="1" customWidth="1"/>
  </cols>
  <sheetData>
    <row r="1" spans="1:30" x14ac:dyDescent="0.25">
      <c r="A1" t="s">
        <v>100</v>
      </c>
    </row>
    <row r="3" spans="1:30" x14ac:dyDescent="0.25">
      <c r="A3" t="s">
        <v>67</v>
      </c>
      <c r="N3" s="121"/>
      <c r="O3" s="121"/>
    </row>
    <row r="4" spans="1:30" x14ac:dyDescent="0.25">
      <c r="A4" s="3" t="s">
        <v>18</v>
      </c>
      <c r="N4" s="121"/>
      <c r="O4" s="121"/>
    </row>
    <row r="5" spans="1:30" x14ac:dyDescent="0.25">
      <c r="N5" s="122"/>
      <c r="O5" s="122"/>
    </row>
    <row r="7" spans="1:30" x14ac:dyDescent="0.25">
      <c r="A7" s="123" t="s">
        <v>101</v>
      </c>
      <c r="B7" s="124" t="s">
        <v>102</v>
      </c>
      <c r="C7" s="239" t="s">
        <v>103</v>
      </c>
      <c r="D7" s="239"/>
      <c r="E7" s="239"/>
      <c r="F7" s="239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5">
      <c r="A8" s="183">
        <f>Inputs!C2</f>
        <v>1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ht="13" x14ac:dyDescent="0.3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4.5" x14ac:dyDescent="0.3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4.5" x14ac:dyDescent="0.3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4.5" x14ac:dyDescent="0.3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5" x14ac:dyDescent="0.3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4.5" x14ac:dyDescent="0.3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3599.9999999999995</v>
      </c>
      <c r="J15" s="133">
        <f>X15*K15</f>
        <v>1101.5999999999999</v>
      </c>
      <c r="K15" s="184">
        <f>Inputs!B36</f>
        <v>0.30599999999999999</v>
      </c>
      <c r="L15" s="133">
        <f>X15*M15</f>
        <v>2163.6</v>
      </c>
      <c r="M15" s="184">
        <f>Inputs!B39</f>
        <v>0.60099999999999998</v>
      </c>
      <c r="N15" s="133">
        <f>X15*O15</f>
        <v>288</v>
      </c>
      <c r="O15" s="184">
        <f>Inputs!B40</f>
        <v>0.08</v>
      </c>
      <c r="P15" s="133">
        <f>X15*Q15</f>
        <v>3.6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43.2</v>
      </c>
      <c r="W15" s="185">
        <f>Inputs!B43</f>
        <v>1.2E-2</v>
      </c>
      <c r="X15" s="213">
        <f>Z15*15</f>
        <v>3600</v>
      </c>
      <c r="Y15" s="209">
        <f>K15+M15+O15+Q15+S15+U15+W15</f>
        <v>1</v>
      </c>
      <c r="Z15" s="226">
        <f>Inputs!I35</f>
        <v>240</v>
      </c>
      <c r="AA15" s="3"/>
      <c r="AB15" s="133"/>
      <c r="AC15" s="3"/>
      <c r="AD15" s="133"/>
    </row>
    <row r="16" spans="1:30" ht="14.5" x14ac:dyDescent="0.3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0.30599999999999999</v>
      </c>
      <c r="L16" s="133">
        <f t="shared" ref="L16:L23" si="0">X16*M16</f>
        <v>0</v>
      </c>
      <c r="M16" s="184">
        <f>M15</f>
        <v>0.60099999999999998</v>
      </c>
      <c r="N16" s="133">
        <f t="shared" ref="N16:N21" si="1">X16*O16</f>
        <v>0</v>
      </c>
      <c r="O16" s="184">
        <f>O15</f>
        <v>0.08</v>
      </c>
      <c r="P16" s="133">
        <f t="shared" ref="P16:P23" si="2">X16*Q16</f>
        <v>0</v>
      </c>
      <c r="Q16" s="184">
        <f>Q15</f>
        <v>1E-3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4.5" x14ac:dyDescent="0.3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4.5" x14ac:dyDescent="0.3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10795.140000000001</v>
      </c>
      <c r="J18" s="133">
        <f>X18*K18</f>
        <v>4266</v>
      </c>
      <c r="K18" s="184">
        <f>Inputs!C36</f>
        <v>0.39500000000000002</v>
      </c>
      <c r="L18" s="133">
        <f t="shared" si="0"/>
        <v>5778</v>
      </c>
      <c r="M18" s="184">
        <f>Inputs!C39</f>
        <v>0.53500000000000003</v>
      </c>
      <c r="N18" s="133">
        <f t="shared" si="1"/>
        <v>540</v>
      </c>
      <c r="O18" s="184">
        <f>Inputs!C40</f>
        <v>0.05</v>
      </c>
      <c r="P18" s="133">
        <f t="shared" si="2"/>
        <v>0.54</v>
      </c>
      <c r="Q18" s="184">
        <f>Inputs!C41</f>
        <v>5.0000000000000002E-5</v>
      </c>
      <c r="R18" s="133">
        <f t="shared" si="3"/>
        <v>5.4</v>
      </c>
      <c r="S18" s="184">
        <f>Inputs!C42</f>
        <v>5.0000000000000001E-4</v>
      </c>
      <c r="T18" s="212">
        <f t="shared" si="4"/>
        <v>0</v>
      </c>
      <c r="U18" s="134">
        <v>0</v>
      </c>
      <c r="V18" s="133">
        <f t="shared" si="5"/>
        <v>205.2</v>
      </c>
      <c r="W18" s="185">
        <f>Inputs!C43</f>
        <v>1.9E-2</v>
      </c>
      <c r="X18" s="213">
        <f t="shared" si="6"/>
        <v>10800</v>
      </c>
      <c r="Y18" s="209">
        <f>K18+M18+O18+Q18+S18+U18+W18</f>
        <v>0.99955000000000005</v>
      </c>
      <c r="Z18" s="226">
        <f>Inputs!I37</f>
        <v>720</v>
      </c>
      <c r="AA18" s="3"/>
      <c r="AB18" s="133"/>
      <c r="AC18" s="3"/>
      <c r="AD18" s="133"/>
    </row>
    <row r="19" spans="1:30" ht="14.5" x14ac:dyDescent="0.3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4.5" x14ac:dyDescent="0.35">
      <c r="A20" s="133"/>
      <c r="B20" s="133" t="s">
        <v>215</v>
      </c>
      <c r="C20" s="133"/>
      <c r="D20" s="133"/>
      <c r="E20" s="133"/>
      <c r="F20" s="133"/>
      <c r="G20" s="133"/>
      <c r="H20" s="133"/>
      <c r="I20" s="133">
        <f t="shared" si="7"/>
        <v>8100</v>
      </c>
      <c r="J20" s="133">
        <f>X20*K20</f>
        <v>1830.6</v>
      </c>
      <c r="K20" s="184">
        <f>Inputs!D36</f>
        <v>0.22599999999999998</v>
      </c>
      <c r="L20" s="133">
        <f t="shared" si="0"/>
        <v>5418.9000000000005</v>
      </c>
      <c r="M20" s="184">
        <f>Inputs!D39</f>
        <v>0.66900000000000004</v>
      </c>
      <c r="N20" s="133">
        <f t="shared" si="1"/>
        <v>720.9</v>
      </c>
      <c r="O20" s="184">
        <f>Inputs!D40</f>
        <v>8.8999999999999996E-2</v>
      </c>
      <c r="P20" s="133">
        <f t="shared" si="2"/>
        <v>8.1</v>
      </c>
      <c r="Q20" s="184">
        <f>Inputs!D41</f>
        <v>1E-3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121.5</v>
      </c>
      <c r="W20" s="185">
        <f>Inputs!D43</f>
        <v>1.4999999999999999E-2</v>
      </c>
      <c r="X20" s="213">
        <f t="shared" si="6"/>
        <v>8100</v>
      </c>
      <c r="Y20" s="209">
        <f>K20+M20+O20+Q20+S20+U20+W20</f>
        <v>1</v>
      </c>
      <c r="Z20" s="226">
        <f>Inputs!I38</f>
        <v>540</v>
      </c>
      <c r="AA20" s="3"/>
      <c r="AB20" s="133"/>
      <c r="AC20" s="3"/>
      <c r="AD20" s="133"/>
    </row>
    <row r="21" spans="1:30" ht="14.5" x14ac:dyDescent="0.35">
      <c r="A21" s="133"/>
      <c r="B21" s="133" t="s">
        <v>216</v>
      </c>
      <c r="C21" s="133"/>
      <c r="D21" s="133"/>
      <c r="E21" s="133"/>
      <c r="F21" s="133"/>
      <c r="G21" s="133"/>
      <c r="H21" s="133"/>
      <c r="I21" s="133">
        <f t="shared" si="7"/>
        <v>1800</v>
      </c>
      <c r="J21" s="133">
        <f>X21*K21</f>
        <v>406.79999999999995</v>
      </c>
      <c r="K21" s="184">
        <f>K20</f>
        <v>0.22599999999999998</v>
      </c>
      <c r="L21" s="133">
        <f t="shared" si="0"/>
        <v>1204.2</v>
      </c>
      <c r="M21" s="184">
        <f>M20</f>
        <v>0.66900000000000004</v>
      </c>
      <c r="N21" s="133">
        <f t="shared" si="1"/>
        <v>160.19999999999999</v>
      </c>
      <c r="O21" s="184">
        <f>O20</f>
        <v>8.8999999999999996E-2</v>
      </c>
      <c r="P21" s="133">
        <f t="shared" si="2"/>
        <v>1.8</v>
      </c>
      <c r="Q21" s="184">
        <f>Q20</f>
        <v>1E-3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27</v>
      </c>
      <c r="W21" s="185">
        <f>W20</f>
        <v>1.4999999999999999E-2</v>
      </c>
      <c r="X21" s="213">
        <f t="shared" si="6"/>
        <v>1800</v>
      </c>
      <c r="Y21" s="209">
        <f>K21+M21+O21+Q21+S21+U21+W21</f>
        <v>1</v>
      </c>
      <c r="Z21" s="226">
        <f>Inputs!I39</f>
        <v>120</v>
      </c>
      <c r="AA21" s="3"/>
      <c r="AB21" s="133"/>
      <c r="AC21" s="3"/>
      <c r="AD21" s="133"/>
    </row>
    <row r="22" spans="1:30" ht="14.5" x14ac:dyDescent="0.3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4.5" x14ac:dyDescent="0.3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3600</v>
      </c>
      <c r="J23" s="133">
        <f>X23*K23</f>
        <v>1227.5999999999999</v>
      </c>
      <c r="K23" s="184">
        <f>Inputs!E36</f>
        <v>0.34099999999999997</v>
      </c>
      <c r="L23" s="133">
        <f t="shared" si="0"/>
        <v>2008.8000000000002</v>
      </c>
      <c r="M23" s="184">
        <f>Inputs!E39</f>
        <v>0.55800000000000005</v>
      </c>
      <c r="N23" s="133">
        <f>X23*O23</f>
        <v>288</v>
      </c>
      <c r="O23" s="184">
        <f>Inputs!E40</f>
        <v>0.08</v>
      </c>
      <c r="P23" s="133">
        <f t="shared" si="2"/>
        <v>3.6</v>
      </c>
      <c r="Q23" s="184">
        <f>Inputs!E41</f>
        <v>1E-3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72</v>
      </c>
      <c r="W23" s="218">
        <f>Inputs!E43</f>
        <v>0.02</v>
      </c>
      <c r="X23" s="213">
        <f t="shared" si="6"/>
        <v>3600</v>
      </c>
      <c r="Y23" s="209">
        <f>K23+M23+O23+Q23+S23+U23+W23</f>
        <v>1</v>
      </c>
      <c r="Z23" s="226">
        <f>Inputs!I40</f>
        <v>240</v>
      </c>
      <c r="AA23" s="3"/>
      <c r="AB23" s="133"/>
      <c r="AC23" s="3"/>
      <c r="AD23" s="133"/>
    </row>
    <row r="24" spans="1:30" ht="14.5" x14ac:dyDescent="0.3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5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5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8832.6</v>
      </c>
      <c r="K26" s="139"/>
      <c r="L26" s="139">
        <f>SUM(L15:L25)</f>
        <v>16573.5</v>
      </c>
      <c r="M26" s="139"/>
      <c r="N26" s="139">
        <f>SUM(N15:N25)</f>
        <v>1997.1000000000001</v>
      </c>
      <c r="O26" s="139"/>
      <c r="P26" s="139">
        <f>SUM(P15:P25)</f>
        <v>17.64</v>
      </c>
      <c r="Q26" s="139"/>
      <c r="R26" s="139">
        <f>SUM(R15:R25)</f>
        <v>5.4</v>
      </c>
      <c r="S26" s="139"/>
      <c r="T26" s="139">
        <f>SUM(T15:T25)</f>
        <v>0</v>
      </c>
      <c r="U26" s="139"/>
      <c r="V26" s="139">
        <f>SUM(V15:V25)</f>
        <v>468.9</v>
      </c>
      <c r="W26" s="139"/>
      <c r="X26" s="139">
        <f>SUM(X15:X25)</f>
        <v>27900</v>
      </c>
      <c r="Y26" s="139"/>
      <c r="Z26" s="139">
        <f>SUM(Z15:Z25)</f>
        <v>1860</v>
      </c>
      <c r="AA26" s="141">
        <f>IF(Z33=0,0,Z33/(H33+Z33))</f>
        <v>0</v>
      </c>
      <c r="AB26" s="139">
        <f>G26+X26</f>
        <v>28800</v>
      </c>
      <c r="AC26" s="139">
        <f>H26+Z26</f>
        <v>1920</v>
      </c>
      <c r="AD26" s="141">
        <f>I26+AA26</f>
        <v>0</v>
      </c>
    </row>
    <row r="30" spans="1:30" x14ac:dyDescent="0.25">
      <c r="A30" s="3" t="s">
        <v>107</v>
      </c>
      <c r="B30">
        <f>J26</f>
        <v>8832.6</v>
      </c>
    </row>
    <row r="31" spans="1:30" x14ac:dyDescent="0.25">
      <c r="A31" s="3" t="s">
        <v>108</v>
      </c>
      <c r="B31">
        <f>L26</f>
        <v>16573.5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5">
      <c r="A32" s="3" t="s">
        <v>109</v>
      </c>
      <c r="B32">
        <f>N26</f>
        <v>1997.1000000000001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5">
      <c r="A33" s="3" t="s">
        <v>110</v>
      </c>
      <c r="B33">
        <f>P26</f>
        <v>17.64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5">
      <c r="A34" s="3" t="s">
        <v>111</v>
      </c>
      <c r="B34">
        <f>R26</f>
        <v>5.4</v>
      </c>
    </row>
    <row r="35" spans="1:13" x14ac:dyDescent="0.25">
      <c r="A35" s="3" t="s">
        <v>112</v>
      </c>
      <c r="B35">
        <f>T26</f>
        <v>0</v>
      </c>
    </row>
    <row r="36" spans="1:13" x14ac:dyDescent="0.25">
      <c r="A36" s="3" t="s">
        <v>113</v>
      </c>
      <c r="B36">
        <f>V26</f>
        <v>468.9</v>
      </c>
    </row>
    <row r="38" spans="1:13" x14ac:dyDescent="0.25">
      <c r="A38" s="3" t="s">
        <v>128</v>
      </c>
      <c r="B38">
        <f>SUM(B30:B36)</f>
        <v>27895.14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I30"/>
  <sheetViews>
    <sheetView zoomScaleNormal="100" workbookViewId="0">
      <selection activeCell="I11" sqref="I11"/>
    </sheetView>
  </sheetViews>
  <sheetFormatPr defaultColWidth="8.7265625" defaultRowHeight="12.5" x14ac:dyDescent="0.25"/>
  <cols>
    <col min="2" max="2" width="29.26953125" customWidth="1"/>
    <col min="5" max="5" width="19.54296875" customWidth="1"/>
    <col min="9" max="9" width="29.453125" customWidth="1"/>
  </cols>
  <sheetData>
    <row r="1" spans="1:9" ht="18" x14ac:dyDescent="0.4">
      <c r="A1" s="240" t="s">
        <v>63</v>
      </c>
      <c r="B1" s="240"/>
      <c r="C1" s="240"/>
      <c r="D1" s="240"/>
      <c r="E1" s="240"/>
      <c r="F1" s="240"/>
      <c r="G1" s="240"/>
      <c r="H1" s="240"/>
    </row>
    <row r="2" spans="1:9" x14ac:dyDescent="0.25">
      <c r="A2" s="3"/>
      <c r="C2" s="24"/>
      <c r="D2" s="25"/>
      <c r="E2" s="25"/>
      <c r="F2" s="25"/>
      <c r="G2" s="25"/>
      <c r="H2" s="30"/>
      <c r="I2" s="30"/>
    </row>
    <row r="3" spans="1:9" x14ac:dyDescent="0.25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20256</v>
      </c>
      <c r="I3" s="25"/>
    </row>
    <row r="4" spans="1:9" x14ac:dyDescent="0.25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1956</v>
      </c>
    </row>
    <row r="5" spans="1:9" x14ac:dyDescent="0.25">
      <c r="H5" s="195"/>
    </row>
    <row r="6" spans="1:9" x14ac:dyDescent="0.25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39064</v>
      </c>
      <c r="I6" s="30"/>
    </row>
    <row r="7" spans="1:9" ht="15.5" x14ac:dyDescent="0.35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5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34710</v>
      </c>
      <c r="I8" s="25"/>
    </row>
    <row r="9" spans="1:9" x14ac:dyDescent="0.25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3940</v>
      </c>
    </row>
    <row r="10" spans="1:9" x14ac:dyDescent="0.25">
      <c r="H10" s="195"/>
      <c r="I10" s="30"/>
    </row>
    <row r="11" spans="1:9" ht="15.5" x14ac:dyDescent="0.35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18990</v>
      </c>
      <c r="I11" s="58"/>
    </row>
    <row r="13" spans="1:9" x14ac:dyDescent="0.25">
      <c r="I13" s="25"/>
    </row>
    <row r="14" spans="1:9" x14ac:dyDescent="0.25">
      <c r="A14" s="3"/>
      <c r="C14" s="24"/>
      <c r="D14" s="25"/>
      <c r="E14" s="25"/>
      <c r="F14" s="25"/>
      <c r="G14" s="25"/>
      <c r="H14" s="30"/>
      <c r="I14" s="25"/>
    </row>
    <row r="17" spans="1:9" x14ac:dyDescent="0.25">
      <c r="A17" s="3"/>
      <c r="C17" s="24"/>
      <c r="D17" s="25"/>
      <c r="E17" s="25"/>
      <c r="F17" s="25"/>
      <c r="G17" s="25"/>
      <c r="I17" s="30"/>
    </row>
    <row r="20" spans="1:9" x14ac:dyDescent="0.25">
      <c r="H20" s="30"/>
      <c r="I20" s="30"/>
    </row>
    <row r="21" spans="1:9" ht="15.5" x14ac:dyDescent="0.35">
      <c r="H21" s="58"/>
      <c r="I21" s="58"/>
    </row>
    <row r="28" spans="1:9" x14ac:dyDescent="0.25">
      <c r="F28" s="5"/>
      <c r="G28" s="5"/>
    </row>
    <row r="29" spans="1:9" x14ac:dyDescent="0.25">
      <c r="F29" s="5"/>
      <c r="G29" s="5"/>
    </row>
    <row r="30" spans="1:9" x14ac:dyDescent="0.25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FF00"/>
    <pageSetUpPr fitToPage="1"/>
  </sheetPr>
  <dimension ref="A1:AMJ82"/>
  <sheetViews>
    <sheetView topLeftCell="A3" zoomScaleNormal="100" workbookViewId="0">
      <selection activeCell="H41" sqref="H41"/>
    </sheetView>
  </sheetViews>
  <sheetFormatPr defaultColWidth="9.1796875" defaultRowHeight="14.5" x14ac:dyDescent="0.35"/>
  <cols>
    <col min="1" max="1" width="9.1796875" style="142"/>
    <col min="2" max="2" width="7.453125" style="142" customWidth="1"/>
    <col min="3" max="3" width="14.1796875" style="142" customWidth="1"/>
    <col min="4" max="4" width="12.54296875" style="143" customWidth="1"/>
    <col min="5" max="5" width="11.54296875" style="142" customWidth="1"/>
    <col min="6" max="6" width="13.453125" style="143" customWidth="1"/>
    <col min="7" max="7" width="10.1796875" style="143" customWidth="1"/>
    <col min="8" max="8" width="12.26953125" style="142" customWidth="1"/>
    <col min="9" max="9" width="10.7265625" style="142" customWidth="1"/>
    <col min="10" max="10" width="12.81640625" style="142" customWidth="1"/>
    <col min="11" max="11" width="11.7265625" style="143" customWidth="1"/>
    <col min="12" max="12" width="11.54296875" style="144" customWidth="1"/>
    <col min="13" max="13" width="12" style="143" customWidth="1"/>
    <col min="14" max="14" width="17.1796875" style="143" customWidth="1"/>
    <col min="15" max="15" width="11.453125" style="143" customWidth="1"/>
    <col min="16" max="16" width="12.1796875" style="143" customWidth="1"/>
    <col min="17" max="256" width="9.1796875" style="142"/>
    <col min="257" max="257" width="4.26953125" style="142" customWidth="1"/>
    <col min="258" max="258" width="3.54296875" style="142" customWidth="1"/>
    <col min="259" max="259" width="8.7265625" style="142" customWidth="1"/>
    <col min="260" max="260" width="7.26953125" style="142" customWidth="1"/>
    <col min="261" max="261" width="4.7265625" style="142" customWidth="1"/>
    <col min="262" max="262" width="4.54296875" style="142" customWidth="1"/>
    <col min="263" max="264" width="4.7265625" style="142" customWidth="1"/>
    <col min="265" max="265" width="6.7265625" style="142" customWidth="1"/>
    <col min="266" max="266" width="6.453125" style="142" customWidth="1"/>
    <col min="267" max="267" width="7.26953125" style="142" customWidth="1"/>
    <col min="268" max="268" width="8.453125" style="142" customWidth="1"/>
    <col min="269" max="269" width="14" style="142" customWidth="1"/>
    <col min="270" max="270" width="3" style="142" customWidth="1"/>
    <col min="271" max="271" width="7.453125" style="142" customWidth="1"/>
    <col min="272" max="272" width="7.7265625" style="142" customWidth="1"/>
    <col min="273" max="512" width="9.1796875" style="142"/>
    <col min="513" max="513" width="4.26953125" style="142" customWidth="1"/>
    <col min="514" max="514" width="3.54296875" style="142" customWidth="1"/>
    <col min="515" max="515" width="8.7265625" style="142" customWidth="1"/>
    <col min="516" max="516" width="7.26953125" style="142" customWidth="1"/>
    <col min="517" max="517" width="4.7265625" style="142" customWidth="1"/>
    <col min="518" max="518" width="4.54296875" style="142" customWidth="1"/>
    <col min="519" max="520" width="4.7265625" style="142" customWidth="1"/>
    <col min="521" max="521" width="6.7265625" style="142" customWidth="1"/>
    <col min="522" max="522" width="6.453125" style="142" customWidth="1"/>
    <col min="523" max="523" width="7.26953125" style="142" customWidth="1"/>
    <col min="524" max="524" width="8.453125" style="142" customWidth="1"/>
    <col min="525" max="525" width="14" style="142" customWidth="1"/>
    <col min="526" max="526" width="3" style="142" customWidth="1"/>
    <col min="527" max="527" width="7.453125" style="142" customWidth="1"/>
    <col min="528" max="528" width="7.7265625" style="142" customWidth="1"/>
    <col min="529" max="768" width="9.1796875" style="142"/>
    <col min="769" max="769" width="4.26953125" style="142" customWidth="1"/>
    <col min="770" max="770" width="3.54296875" style="142" customWidth="1"/>
    <col min="771" max="771" width="8.7265625" style="142" customWidth="1"/>
    <col min="772" max="772" width="7.26953125" style="142" customWidth="1"/>
    <col min="773" max="773" width="4.7265625" style="142" customWidth="1"/>
    <col min="774" max="774" width="4.54296875" style="142" customWidth="1"/>
    <col min="775" max="776" width="4.7265625" style="142" customWidth="1"/>
    <col min="777" max="777" width="6.7265625" style="142" customWidth="1"/>
    <col min="778" max="778" width="6.453125" style="142" customWidth="1"/>
    <col min="779" max="779" width="7.26953125" style="142" customWidth="1"/>
    <col min="780" max="780" width="8.453125" style="142" customWidth="1"/>
    <col min="781" max="781" width="14" style="142" customWidth="1"/>
    <col min="782" max="782" width="3" style="142" customWidth="1"/>
    <col min="783" max="783" width="7.453125" style="142" customWidth="1"/>
    <col min="784" max="784" width="7.7265625" style="142" customWidth="1"/>
    <col min="785" max="1024" width="9.1796875" style="142"/>
  </cols>
  <sheetData>
    <row r="1" spans="1:16" x14ac:dyDescent="0.3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35">
      <c r="A2" s="241" t="s">
        <v>142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</row>
    <row r="3" spans="1:16" x14ac:dyDescent="0.3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220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3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220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3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219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35">
      <c r="A6" s="242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</row>
    <row r="7" spans="1:16" x14ac:dyDescent="0.35">
      <c r="A7" s="148">
        <v>1</v>
      </c>
      <c r="B7" s="189">
        <f>Inputs!C$2</f>
        <v>1</v>
      </c>
      <c r="C7" s="151">
        <v>389924</v>
      </c>
      <c r="D7" s="188" t="s">
        <v>7</v>
      </c>
      <c r="E7" s="148">
        <v>60</v>
      </c>
      <c r="F7" s="188" t="s">
        <v>120</v>
      </c>
      <c r="G7" s="188"/>
      <c r="H7" s="191" t="s">
        <v>219</v>
      </c>
      <c r="I7" s="210">
        <f>IF(K7&gt;0,K7-J7,"NA")</f>
        <v>1509</v>
      </c>
      <c r="J7" s="189">
        <f>IF(H7="NEW",203, IF(H7="OLD",192,0))</f>
        <v>203</v>
      </c>
      <c r="K7" s="151">
        <v>1712</v>
      </c>
      <c r="L7" s="211">
        <f>IF(K7&gt;0,I7/E7,"NA")</f>
        <v>25.15</v>
      </c>
      <c r="M7" s="151">
        <v>938822</v>
      </c>
      <c r="N7" s="152" t="s">
        <v>236</v>
      </c>
      <c r="O7" s="157" t="s">
        <v>51</v>
      </c>
      <c r="P7" s="187">
        <f>IF(D7=Inputs!F$2,Inputs!I$2,IF(D7=Inputs!F$3,Inputs!I$3,IF(D7=Inputs!F$4,Inputs!I$4,IF(D7=Inputs!F$5,Inputs!I$5,"NA"))))</f>
        <v>38.892857142857146</v>
      </c>
    </row>
    <row r="8" spans="1:16" x14ac:dyDescent="0.35">
      <c r="A8" s="148">
        <v>2</v>
      </c>
      <c r="B8" s="189">
        <f>Inputs!C$2</f>
        <v>1</v>
      </c>
      <c r="C8" s="151">
        <v>389925</v>
      </c>
      <c r="D8" s="188" t="s">
        <v>183</v>
      </c>
      <c r="E8" s="148">
        <v>60</v>
      </c>
      <c r="F8" s="188" t="s">
        <v>120</v>
      </c>
      <c r="G8" s="188"/>
      <c r="H8" s="191" t="s">
        <v>219</v>
      </c>
      <c r="I8" s="210">
        <f t="shared" ref="I8:I70" si="0">IF(K8&gt;0,K8-J8,"NA")</f>
        <v>1495</v>
      </c>
      <c r="J8" s="189">
        <f>IF(H8="NEW",203, IF(H8="OLD",192,0))</f>
        <v>203</v>
      </c>
      <c r="K8" s="151">
        <v>1698</v>
      </c>
      <c r="L8" s="211">
        <f>IF(K8&gt;0,I8/E8,"NA")</f>
        <v>24.916666666666668</v>
      </c>
      <c r="M8" s="151">
        <v>938822</v>
      </c>
      <c r="N8" s="152" t="s">
        <v>236</v>
      </c>
      <c r="O8" s="157" t="s">
        <v>51</v>
      </c>
      <c r="P8" s="187">
        <f>IF(D8=Inputs!F$2,Inputs!I$2,IF(D8=Inputs!F$3,Inputs!I$3,IF(D8=Inputs!F$4,Inputs!I$4,IF(D8=Inputs!F$5,Inputs!I$5,"NA"))))</f>
        <v>56.892857142857146</v>
      </c>
    </row>
    <row r="9" spans="1:16" x14ac:dyDescent="0.35">
      <c r="A9" s="148">
        <v>3</v>
      </c>
      <c r="B9" s="189">
        <f>Inputs!C$2</f>
        <v>1</v>
      </c>
      <c r="C9" s="151">
        <v>389926</v>
      </c>
      <c r="D9" s="188" t="s">
        <v>183</v>
      </c>
      <c r="E9" s="148">
        <v>60</v>
      </c>
      <c r="F9" s="188" t="s">
        <v>120</v>
      </c>
      <c r="G9" s="188"/>
      <c r="H9" s="191" t="s">
        <v>219</v>
      </c>
      <c r="I9" s="210">
        <f t="shared" si="0"/>
        <v>1471</v>
      </c>
      <c r="J9" s="189">
        <f>IF(H9="NEW",203, IF(H9="OLD",192,0))</f>
        <v>203</v>
      </c>
      <c r="K9" s="151">
        <v>1674</v>
      </c>
      <c r="L9" s="211">
        <f t="shared" ref="L9:L72" si="1">IF(K9&gt;0,I9/E9,"NA")</f>
        <v>24.516666666666666</v>
      </c>
      <c r="M9" s="151">
        <v>938822</v>
      </c>
      <c r="N9" s="152" t="s">
        <v>236</v>
      </c>
      <c r="O9" s="157" t="s">
        <v>51</v>
      </c>
      <c r="P9" s="187">
        <f>IF(D9=Inputs!F$2,Inputs!I$2,IF(D9=Inputs!F$3,Inputs!I$3,IF(D9=Inputs!F$4,Inputs!I$4,IF(D9=Inputs!F$5,Inputs!I$5,"NA"))))</f>
        <v>56.892857142857146</v>
      </c>
    </row>
    <row r="10" spans="1:16" x14ac:dyDescent="0.35">
      <c r="A10" s="148">
        <v>4</v>
      </c>
      <c r="B10" s="189">
        <f>Inputs!C$2</f>
        <v>1</v>
      </c>
      <c r="C10" s="151">
        <v>389927</v>
      </c>
      <c r="D10" s="188" t="s">
        <v>181</v>
      </c>
      <c r="E10" s="148">
        <v>60</v>
      </c>
      <c r="F10" s="188" t="s">
        <v>120</v>
      </c>
      <c r="G10" s="188"/>
      <c r="H10" s="191" t="s">
        <v>219</v>
      </c>
      <c r="I10" s="210">
        <f t="shared" si="0"/>
        <v>1519</v>
      </c>
      <c r="J10" s="189">
        <f>IF(H10="NEW",203, IF(H10="OLD",192,0))</f>
        <v>203</v>
      </c>
      <c r="K10" s="151">
        <v>1722</v>
      </c>
      <c r="L10" s="211">
        <f t="shared" si="1"/>
        <v>25.316666666666666</v>
      </c>
      <c r="M10" s="151">
        <v>938822</v>
      </c>
      <c r="N10" s="152" t="s">
        <v>236</v>
      </c>
      <c r="O10" s="157" t="s">
        <v>51</v>
      </c>
      <c r="P10" s="187">
        <f>IF(D10=Inputs!F$2,Inputs!I$2,IF(D10=Inputs!F$3,Inputs!I$3,IF(D10=Inputs!F$4,Inputs!I$4,IF(D10=Inputs!F$5,Inputs!I$5,"NA"))))</f>
        <v>64.892857142857139</v>
      </c>
    </row>
    <row r="11" spans="1:16" x14ac:dyDescent="0.35">
      <c r="A11" s="148">
        <v>5</v>
      </c>
      <c r="B11" s="189">
        <f>Inputs!C$2</f>
        <v>1</v>
      </c>
      <c r="C11" s="151">
        <v>389928</v>
      </c>
      <c r="D11" s="188" t="s">
        <v>181</v>
      </c>
      <c r="E11" s="148">
        <v>60</v>
      </c>
      <c r="F11" s="188" t="s">
        <v>120</v>
      </c>
      <c r="G11" s="188"/>
      <c r="H11" s="191" t="s">
        <v>219</v>
      </c>
      <c r="I11" s="210">
        <f t="shared" si="0"/>
        <v>1529</v>
      </c>
      <c r="J11" s="189">
        <f t="shared" ref="J11:J72" si="2">IF(H11="NEW",203, IF(H11="OLD",192,0))</f>
        <v>203</v>
      </c>
      <c r="K11" s="151">
        <v>1732</v>
      </c>
      <c r="L11" s="211">
        <f>IF(K11&gt;0,I11/E11,"NA")</f>
        <v>25.483333333333334</v>
      </c>
      <c r="M11" s="151">
        <v>938822</v>
      </c>
      <c r="N11" s="152" t="s">
        <v>236</v>
      </c>
      <c r="O11" s="157" t="s">
        <v>51</v>
      </c>
      <c r="P11" s="187">
        <f>IF(D11=Inputs!F$2,Inputs!I$2,IF(D11=Inputs!F$3,Inputs!I$3,IF(D11=Inputs!F$4,Inputs!I$4,IF(D11=Inputs!F$5,Inputs!I$5,"NA"))))</f>
        <v>64.892857142857139</v>
      </c>
    </row>
    <row r="12" spans="1:16" x14ac:dyDescent="0.35">
      <c r="A12" s="148">
        <v>6</v>
      </c>
      <c r="B12" s="189">
        <f>Inputs!C$2</f>
        <v>1</v>
      </c>
      <c r="C12" s="151">
        <v>389929</v>
      </c>
      <c r="D12" s="188" t="s">
        <v>181</v>
      </c>
      <c r="E12" s="148">
        <v>60</v>
      </c>
      <c r="F12" s="188" t="s">
        <v>120</v>
      </c>
      <c r="G12" s="188"/>
      <c r="H12" s="191" t="s">
        <v>219</v>
      </c>
      <c r="I12" s="210">
        <f t="shared" si="0"/>
        <v>1515</v>
      </c>
      <c r="J12" s="189">
        <f t="shared" si="2"/>
        <v>203</v>
      </c>
      <c r="K12" s="151">
        <v>1718</v>
      </c>
      <c r="L12" s="211">
        <f t="shared" si="1"/>
        <v>25.25</v>
      </c>
      <c r="M12" s="151">
        <v>938822</v>
      </c>
      <c r="N12" s="152" t="s">
        <v>236</v>
      </c>
      <c r="O12" s="157" t="s">
        <v>51</v>
      </c>
      <c r="P12" s="187">
        <f>IF(D12=Inputs!F$2,Inputs!I$2,IF(D12=Inputs!F$3,Inputs!I$3,IF(D12=Inputs!F$4,Inputs!I$4,IF(D12=Inputs!F$5,Inputs!I$5,"NA"))))</f>
        <v>64.892857142857139</v>
      </c>
    </row>
    <row r="13" spans="1:16" x14ac:dyDescent="0.35">
      <c r="A13" s="148">
        <v>7</v>
      </c>
      <c r="B13" s="189">
        <f>Inputs!C$2</f>
        <v>1</v>
      </c>
      <c r="C13" s="151">
        <v>389930</v>
      </c>
      <c r="D13" s="188" t="s">
        <v>5</v>
      </c>
      <c r="E13" s="148">
        <v>60</v>
      </c>
      <c r="F13" s="188" t="s">
        <v>120</v>
      </c>
      <c r="G13" s="188"/>
      <c r="H13" s="191" t="s">
        <v>219</v>
      </c>
      <c r="I13" s="210">
        <f t="shared" si="0"/>
        <v>1471</v>
      </c>
      <c r="J13" s="189">
        <f t="shared" si="2"/>
        <v>203</v>
      </c>
      <c r="K13" s="151">
        <v>1674</v>
      </c>
      <c r="L13" s="211">
        <f t="shared" si="1"/>
        <v>24.516666666666666</v>
      </c>
      <c r="M13" s="151">
        <v>938822</v>
      </c>
      <c r="N13" s="152" t="s">
        <v>236</v>
      </c>
      <c r="O13" s="157" t="s">
        <v>51</v>
      </c>
      <c r="P13" s="187">
        <f>IF(D13=Inputs!F$2,Inputs!I$2,IF(D13=Inputs!F$3,Inputs!I$3,IF(D13=Inputs!F$4,Inputs!I$4,IF(D13=Inputs!F$5,Inputs!I$5,"NA"))))</f>
        <v>30.464285714285715</v>
      </c>
    </row>
    <row r="14" spans="1:16" x14ac:dyDescent="0.35">
      <c r="A14" s="148">
        <v>8</v>
      </c>
      <c r="B14" s="189">
        <f>Inputs!C$2</f>
        <v>1</v>
      </c>
      <c r="C14" s="151">
        <v>389931</v>
      </c>
      <c r="D14" s="188" t="s">
        <v>5</v>
      </c>
      <c r="E14" s="148">
        <v>60</v>
      </c>
      <c r="F14" s="188" t="s">
        <v>120</v>
      </c>
      <c r="G14" s="188"/>
      <c r="H14" s="191" t="s">
        <v>219</v>
      </c>
      <c r="I14" s="210">
        <f t="shared" si="0"/>
        <v>1485</v>
      </c>
      <c r="J14" s="189">
        <f t="shared" si="2"/>
        <v>203</v>
      </c>
      <c r="K14" s="151">
        <v>1688</v>
      </c>
      <c r="L14" s="211">
        <f t="shared" si="1"/>
        <v>24.75</v>
      </c>
      <c r="M14" s="151">
        <v>938822</v>
      </c>
      <c r="N14" s="152" t="s">
        <v>236</v>
      </c>
      <c r="O14" s="157" t="s">
        <v>51</v>
      </c>
      <c r="P14" s="187">
        <f>IF(D14=Inputs!F$2,Inputs!I$2,IF(D14=Inputs!F$3,Inputs!I$3,IF(D14=Inputs!F$4,Inputs!I$4,IF(D14=Inputs!F$5,Inputs!I$5,"NA"))))</f>
        <v>30.464285714285715</v>
      </c>
    </row>
    <row r="15" spans="1:16" x14ac:dyDescent="0.35">
      <c r="A15" s="148">
        <v>9</v>
      </c>
      <c r="B15" s="189">
        <f>Inputs!C$2</f>
        <v>1</v>
      </c>
      <c r="C15" s="151">
        <v>389932</v>
      </c>
      <c r="D15" s="188" t="s">
        <v>7</v>
      </c>
      <c r="E15" s="148">
        <v>60</v>
      </c>
      <c r="F15" s="188" t="s">
        <v>120</v>
      </c>
      <c r="G15" s="188"/>
      <c r="H15" s="191" t="s">
        <v>219</v>
      </c>
      <c r="I15" s="210">
        <f t="shared" si="0"/>
        <v>1517</v>
      </c>
      <c r="J15" s="189">
        <f t="shared" si="2"/>
        <v>203</v>
      </c>
      <c r="K15" s="151">
        <v>1720</v>
      </c>
      <c r="L15" s="211">
        <f t="shared" si="1"/>
        <v>25.283333333333335</v>
      </c>
      <c r="M15" s="151">
        <v>938822</v>
      </c>
      <c r="N15" s="152" t="s">
        <v>236</v>
      </c>
      <c r="O15" s="157" t="s">
        <v>51</v>
      </c>
      <c r="P15" s="187">
        <f>IF(D15=Inputs!F$2,Inputs!I$2,IF(D15=Inputs!F$3,Inputs!I$3,IF(D15=Inputs!F$4,Inputs!I$4,IF(D15=Inputs!F$5,Inputs!I$5,"NA"))))</f>
        <v>38.892857142857146</v>
      </c>
    </row>
    <row r="16" spans="1:16" x14ac:dyDescent="0.35">
      <c r="A16" s="148">
        <v>10</v>
      </c>
      <c r="B16" s="189">
        <f>Inputs!C$2</f>
        <v>1</v>
      </c>
      <c r="C16" s="151">
        <v>389933</v>
      </c>
      <c r="D16" s="188" t="s">
        <v>7</v>
      </c>
      <c r="E16" s="148">
        <v>60</v>
      </c>
      <c r="F16" s="188" t="s">
        <v>120</v>
      </c>
      <c r="G16" s="188"/>
      <c r="H16" s="191" t="s">
        <v>219</v>
      </c>
      <c r="I16" s="210">
        <f t="shared" si="0"/>
        <v>1511</v>
      </c>
      <c r="J16" s="189">
        <f t="shared" si="2"/>
        <v>203</v>
      </c>
      <c r="K16" s="151">
        <v>1714</v>
      </c>
      <c r="L16" s="211">
        <f t="shared" si="1"/>
        <v>25.183333333333334</v>
      </c>
      <c r="M16" s="151">
        <v>938822</v>
      </c>
      <c r="N16" s="152" t="s">
        <v>236</v>
      </c>
      <c r="O16" s="157" t="s">
        <v>51</v>
      </c>
      <c r="P16" s="187">
        <f>IF(D16=Inputs!F$2,Inputs!I$2,IF(D16=Inputs!F$3,Inputs!I$3,IF(D16=Inputs!F$4,Inputs!I$4,IF(D16=Inputs!F$5,Inputs!I$5,"NA"))))</f>
        <v>38.892857142857146</v>
      </c>
    </row>
    <row r="17" spans="1:16" x14ac:dyDescent="0.35">
      <c r="A17" s="148">
        <v>11</v>
      </c>
      <c r="B17" s="189">
        <f>Inputs!C$2</f>
        <v>1</v>
      </c>
      <c r="C17" s="151">
        <v>389934</v>
      </c>
      <c r="D17" s="188" t="s">
        <v>7</v>
      </c>
      <c r="E17" s="148">
        <v>60</v>
      </c>
      <c r="F17" s="188" t="s">
        <v>120</v>
      </c>
      <c r="G17" s="188"/>
      <c r="H17" s="191" t="s">
        <v>219</v>
      </c>
      <c r="I17" s="210">
        <f t="shared" si="0"/>
        <v>1507</v>
      </c>
      <c r="J17" s="189">
        <f t="shared" si="2"/>
        <v>203</v>
      </c>
      <c r="K17" s="151">
        <v>1710</v>
      </c>
      <c r="L17" s="211">
        <f t="shared" si="1"/>
        <v>25.116666666666667</v>
      </c>
      <c r="M17" s="151">
        <v>938822</v>
      </c>
      <c r="N17" s="152" t="s">
        <v>236</v>
      </c>
      <c r="O17" s="157" t="s">
        <v>51</v>
      </c>
      <c r="P17" s="187">
        <f>IF(D17=Inputs!F$2,Inputs!I$2,IF(D17=Inputs!F$3,Inputs!I$3,IF(D17=Inputs!F$4,Inputs!I$4,IF(D17=Inputs!F$5,Inputs!I$5,"NA"))))</f>
        <v>38.892857142857146</v>
      </c>
    </row>
    <row r="18" spans="1:16" x14ac:dyDescent="0.35">
      <c r="A18" s="148">
        <v>12</v>
      </c>
      <c r="B18" s="189">
        <f>Inputs!C$2</f>
        <v>1</v>
      </c>
      <c r="C18" s="151">
        <v>389935</v>
      </c>
      <c r="D18" s="188" t="s">
        <v>9</v>
      </c>
      <c r="E18" s="148">
        <v>60</v>
      </c>
      <c r="F18" s="188"/>
      <c r="G18" s="188" t="s">
        <v>13</v>
      </c>
      <c r="H18" s="191" t="s">
        <v>219</v>
      </c>
      <c r="I18" s="210" t="str">
        <f t="shared" si="0"/>
        <v>NA</v>
      </c>
      <c r="J18" s="189">
        <f t="shared" si="2"/>
        <v>203</v>
      </c>
      <c r="K18" s="151"/>
      <c r="L18" s="211" t="str">
        <f t="shared" si="1"/>
        <v>NA</v>
      </c>
      <c r="M18" s="151">
        <v>938822</v>
      </c>
      <c r="N18" s="152" t="s">
        <v>236</v>
      </c>
      <c r="O18" s="157" t="s">
        <v>51</v>
      </c>
      <c r="P18" s="187" t="str">
        <f>IF(D18=Inputs!F$2,Inputs!I$2,IF(D18=Inputs!F$3,Inputs!I$3,IF(D18=Inputs!F$4,Inputs!I$4,IF(D18=Inputs!F$5,Inputs!I$5,"NA"))))</f>
        <v>NA</v>
      </c>
    </row>
    <row r="19" spans="1:16" x14ac:dyDescent="0.35">
      <c r="A19" s="148">
        <v>13</v>
      </c>
      <c r="B19" s="189">
        <f>Inputs!C$2</f>
        <v>1</v>
      </c>
      <c r="C19" s="151">
        <v>389936</v>
      </c>
      <c r="D19" s="188" t="s">
        <v>181</v>
      </c>
      <c r="E19" s="148">
        <v>60</v>
      </c>
      <c r="F19" s="188" t="s">
        <v>120</v>
      </c>
      <c r="G19" s="188"/>
      <c r="H19" s="191" t="s">
        <v>219</v>
      </c>
      <c r="I19" s="210">
        <f t="shared" si="0"/>
        <v>1479</v>
      </c>
      <c r="J19" s="189">
        <f t="shared" si="2"/>
        <v>203</v>
      </c>
      <c r="K19" s="151">
        <v>1682</v>
      </c>
      <c r="L19" s="211">
        <f t="shared" si="1"/>
        <v>24.65</v>
      </c>
      <c r="M19" s="151">
        <v>938822</v>
      </c>
      <c r="N19" s="152" t="s">
        <v>236</v>
      </c>
      <c r="O19" s="157" t="s">
        <v>52</v>
      </c>
      <c r="P19" s="187">
        <f>IF(D19=Inputs!F$2,Inputs!I$2,IF(D19=Inputs!F$3,Inputs!I$3,IF(D19=Inputs!F$4,Inputs!I$4,IF(D19=Inputs!F$5,Inputs!I$5,"NA"))))</f>
        <v>64.892857142857139</v>
      </c>
    </row>
    <row r="20" spans="1:16" x14ac:dyDescent="0.35">
      <c r="A20" s="148">
        <v>14</v>
      </c>
      <c r="B20" s="189">
        <f>Inputs!C$2</f>
        <v>1</v>
      </c>
      <c r="C20" s="151">
        <v>389937</v>
      </c>
      <c r="D20" s="188" t="s">
        <v>7</v>
      </c>
      <c r="E20" s="148">
        <v>60</v>
      </c>
      <c r="F20" s="188" t="s">
        <v>120</v>
      </c>
      <c r="G20" s="188"/>
      <c r="H20" s="191" t="s">
        <v>219</v>
      </c>
      <c r="I20" s="210">
        <f t="shared" si="0"/>
        <v>1511</v>
      </c>
      <c r="J20" s="189">
        <f t="shared" si="2"/>
        <v>203</v>
      </c>
      <c r="K20" s="151">
        <v>1714</v>
      </c>
      <c r="L20" s="211">
        <f t="shared" si="1"/>
        <v>25.183333333333334</v>
      </c>
      <c r="M20" s="151">
        <v>938822</v>
      </c>
      <c r="N20" s="152" t="s">
        <v>236</v>
      </c>
      <c r="O20" s="157" t="s">
        <v>51</v>
      </c>
      <c r="P20" s="187">
        <f>IF(D20=Inputs!F$2,Inputs!I$2,IF(D20=Inputs!F$3,Inputs!I$3,IF(D20=Inputs!F$4,Inputs!I$4,IF(D20=Inputs!F$5,Inputs!I$5,"NA"))))</f>
        <v>38.892857142857146</v>
      </c>
    </row>
    <row r="21" spans="1:16" x14ac:dyDescent="0.35">
      <c r="A21" s="148">
        <v>15</v>
      </c>
      <c r="B21" s="189">
        <f>Inputs!C$2</f>
        <v>1</v>
      </c>
      <c r="C21" s="151">
        <v>389938</v>
      </c>
      <c r="D21" s="188" t="s">
        <v>7</v>
      </c>
      <c r="E21" s="148">
        <v>60</v>
      </c>
      <c r="F21" s="188" t="s">
        <v>120</v>
      </c>
      <c r="G21" s="188"/>
      <c r="H21" s="191" t="s">
        <v>219</v>
      </c>
      <c r="I21" s="210">
        <f t="shared" si="0"/>
        <v>1505</v>
      </c>
      <c r="J21" s="189">
        <f t="shared" si="2"/>
        <v>203</v>
      </c>
      <c r="K21" s="151">
        <v>1708</v>
      </c>
      <c r="L21" s="211">
        <f t="shared" si="1"/>
        <v>25.083333333333332</v>
      </c>
      <c r="M21" s="151">
        <v>938822</v>
      </c>
      <c r="N21" s="152" t="s">
        <v>236</v>
      </c>
      <c r="O21" s="157" t="s">
        <v>51</v>
      </c>
      <c r="P21" s="187">
        <f>IF(D21=Inputs!F$2,Inputs!I$2,IF(D21=Inputs!F$3,Inputs!I$3,IF(D21=Inputs!F$4,Inputs!I$4,IF(D21=Inputs!F$5,Inputs!I$5,"NA"))))</f>
        <v>38.892857142857146</v>
      </c>
    </row>
    <row r="22" spans="1:16" x14ac:dyDescent="0.35">
      <c r="A22" s="148">
        <v>16</v>
      </c>
      <c r="B22" s="189">
        <f>Inputs!C$2</f>
        <v>1</v>
      </c>
      <c r="C22" s="151">
        <v>389939</v>
      </c>
      <c r="D22" s="188" t="s">
        <v>7</v>
      </c>
      <c r="E22" s="148">
        <v>60</v>
      </c>
      <c r="F22" s="188" t="s">
        <v>120</v>
      </c>
      <c r="G22" s="188"/>
      <c r="H22" s="191" t="s">
        <v>219</v>
      </c>
      <c r="I22" s="210">
        <f t="shared" si="0"/>
        <v>1515</v>
      </c>
      <c r="J22" s="189">
        <f t="shared" si="2"/>
        <v>203</v>
      </c>
      <c r="K22" s="235">
        <v>1718</v>
      </c>
      <c r="L22" s="211">
        <f t="shared" si="1"/>
        <v>25.25</v>
      </c>
      <c r="M22" s="151">
        <v>938822</v>
      </c>
      <c r="N22" s="152" t="s">
        <v>236</v>
      </c>
      <c r="O22" s="157" t="s">
        <v>51</v>
      </c>
      <c r="P22" s="187">
        <f>IF(D22=Inputs!F$2,Inputs!I$2,IF(D22=Inputs!F$3,Inputs!I$3,IF(D22=Inputs!F$4,Inputs!I$4,IF(D22=Inputs!F$5,Inputs!I$5,"NA"))))</f>
        <v>38.892857142857146</v>
      </c>
    </row>
    <row r="23" spans="1:16" x14ac:dyDescent="0.35">
      <c r="A23" s="148">
        <v>17</v>
      </c>
      <c r="B23" s="189">
        <f>Inputs!C$2</f>
        <v>1</v>
      </c>
      <c r="C23" s="151">
        <v>389940</v>
      </c>
      <c r="D23" s="188" t="s">
        <v>7</v>
      </c>
      <c r="E23" s="148">
        <v>60</v>
      </c>
      <c r="F23" s="188" t="s">
        <v>120</v>
      </c>
      <c r="G23" s="188"/>
      <c r="H23" s="191" t="s">
        <v>219</v>
      </c>
      <c r="I23" s="210">
        <f t="shared" si="0"/>
        <v>1507</v>
      </c>
      <c r="J23" s="189">
        <f t="shared" si="2"/>
        <v>203</v>
      </c>
      <c r="K23" s="151">
        <v>1710</v>
      </c>
      <c r="L23" s="211">
        <f t="shared" si="1"/>
        <v>25.116666666666667</v>
      </c>
      <c r="M23" s="151">
        <v>938822</v>
      </c>
      <c r="N23" s="152" t="s">
        <v>236</v>
      </c>
      <c r="O23" s="157" t="s">
        <v>51</v>
      </c>
      <c r="P23" s="187">
        <f>IF(D23=Inputs!F$2,Inputs!I$2,IF(D23=Inputs!F$3,Inputs!I$3,IF(D23=Inputs!F$4,Inputs!I$4,IF(D23=Inputs!F$5,Inputs!I$5,"NA"))))</f>
        <v>38.892857142857146</v>
      </c>
    </row>
    <row r="24" spans="1:16" x14ac:dyDescent="0.35">
      <c r="A24" s="148">
        <v>18</v>
      </c>
      <c r="B24" s="189">
        <f>Inputs!C$2</f>
        <v>1</v>
      </c>
      <c r="C24" s="151">
        <v>389941</v>
      </c>
      <c r="D24" s="188" t="s">
        <v>181</v>
      </c>
      <c r="E24" s="148">
        <v>60</v>
      </c>
      <c r="F24" s="188" t="s">
        <v>120</v>
      </c>
      <c r="G24" s="188"/>
      <c r="H24" s="191" t="s">
        <v>219</v>
      </c>
      <c r="I24" s="210">
        <f t="shared" si="0"/>
        <v>1513</v>
      </c>
      <c r="J24" s="189">
        <f t="shared" si="2"/>
        <v>203</v>
      </c>
      <c r="K24" s="151">
        <v>1716</v>
      </c>
      <c r="L24" s="211">
        <f t="shared" si="1"/>
        <v>25.216666666666665</v>
      </c>
      <c r="M24" s="151">
        <v>938822</v>
      </c>
      <c r="N24" s="152" t="s">
        <v>236</v>
      </c>
      <c r="O24" s="157" t="s">
        <v>51</v>
      </c>
      <c r="P24" s="187">
        <f>IF(D24=Inputs!F$2,Inputs!I$2,IF(D24=Inputs!F$3,Inputs!I$3,IF(D24=Inputs!F$4,Inputs!I$4,IF(D24=Inputs!F$5,Inputs!I$5,"NA"))))</f>
        <v>64.892857142857139</v>
      </c>
    </row>
    <row r="25" spans="1:16" x14ac:dyDescent="0.35">
      <c r="A25" s="148">
        <v>19</v>
      </c>
      <c r="B25" s="189">
        <f>Inputs!C$2</f>
        <v>1</v>
      </c>
      <c r="C25" s="151">
        <v>389942</v>
      </c>
      <c r="D25" s="188" t="s">
        <v>181</v>
      </c>
      <c r="E25" s="148">
        <v>60</v>
      </c>
      <c r="F25" s="188" t="s">
        <v>120</v>
      </c>
      <c r="G25" s="188"/>
      <c r="H25" s="191" t="s">
        <v>219</v>
      </c>
      <c r="I25" s="210">
        <f t="shared" si="0"/>
        <v>1505</v>
      </c>
      <c r="J25" s="189">
        <f t="shared" si="2"/>
        <v>203</v>
      </c>
      <c r="K25" s="151">
        <v>1708</v>
      </c>
      <c r="L25" s="211">
        <f t="shared" si="1"/>
        <v>25.083333333333332</v>
      </c>
      <c r="M25" s="151">
        <v>938822</v>
      </c>
      <c r="N25" s="152" t="s">
        <v>236</v>
      </c>
      <c r="O25" s="157" t="s">
        <v>51</v>
      </c>
      <c r="P25" s="187">
        <f>IF(D25=Inputs!F$2,Inputs!I$2,IF(D25=Inputs!F$3,Inputs!I$3,IF(D25=Inputs!F$4,Inputs!I$4,IF(D25=Inputs!F$5,Inputs!I$5,"NA"))))</f>
        <v>64.892857142857139</v>
      </c>
    </row>
    <row r="26" spans="1:16" x14ac:dyDescent="0.35">
      <c r="A26" s="148">
        <v>20</v>
      </c>
      <c r="B26" s="189">
        <f>Inputs!C$2</f>
        <v>1</v>
      </c>
      <c r="C26" s="151">
        <v>389943</v>
      </c>
      <c r="D26" s="188" t="s">
        <v>181</v>
      </c>
      <c r="E26" s="148">
        <v>60</v>
      </c>
      <c r="F26" s="188" t="s">
        <v>120</v>
      </c>
      <c r="G26" s="188"/>
      <c r="H26" s="191" t="s">
        <v>219</v>
      </c>
      <c r="I26" s="210">
        <f t="shared" si="0"/>
        <v>1501</v>
      </c>
      <c r="J26" s="189">
        <f t="shared" si="2"/>
        <v>203</v>
      </c>
      <c r="K26" s="151">
        <v>1704</v>
      </c>
      <c r="L26" s="211">
        <f t="shared" si="1"/>
        <v>25.016666666666666</v>
      </c>
      <c r="M26" s="151">
        <v>938822</v>
      </c>
      <c r="N26" s="152" t="s">
        <v>236</v>
      </c>
      <c r="O26" s="157" t="s">
        <v>51</v>
      </c>
      <c r="P26" s="187">
        <f>IF(D26=Inputs!F$2,Inputs!I$2,IF(D26=Inputs!F$3,Inputs!I$3,IF(D26=Inputs!F$4,Inputs!I$4,IF(D26=Inputs!F$5,Inputs!I$5,"NA"))))</f>
        <v>64.892857142857139</v>
      </c>
    </row>
    <row r="27" spans="1:16" x14ac:dyDescent="0.35">
      <c r="A27" s="148">
        <v>21</v>
      </c>
      <c r="B27" s="189">
        <f>Inputs!C$2</f>
        <v>1</v>
      </c>
      <c r="C27" s="151">
        <v>389944</v>
      </c>
      <c r="D27" s="188" t="s">
        <v>181</v>
      </c>
      <c r="E27" s="148">
        <v>60</v>
      </c>
      <c r="F27" s="188" t="s">
        <v>120</v>
      </c>
      <c r="G27" s="188"/>
      <c r="H27" s="191" t="s">
        <v>219</v>
      </c>
      <c r="I27" s="210">
        <f t="shared" si="0"/>
        <v>1491</v>
      </c>
      <c r="J27" s="189">
        <f t="shared" si="2"/>
        <v>203</v>
      </c>
      <c r="K27" s="151">
        <v>1694</v>
      </c>
      <c r="L27" s="211">
        <f t="shared" si="1"/>
        <v>24.85</v>
      </c>
      <c r="M27" s="151">
        <v>938822</v>
      </c>
      <c r="N27" s="152" t="s">
        <v>236</v>
      </c>
      <c r="O27" s="157" t="s">
        <v>51</v>
      </c>
      <c r="P27" s="187">
        <f>IF(D27=Inputs!F$2,Inputs!I$2,IF(D27=Inputs!F$3,Inputs!I$3,IF(D27=Inputs!F$4,Inputs!I$4,IF(D27=Inputs!F$5,Inputs!I$5,"NA"))))</f>
        <v>64.892857142857139</v>
      </c>
    </row>
    <row r="28" spans="1:16" x14ac:dyDescent="0.35">
      <c r="A28" s="148">
        <v>22</v>
      </c>
      <c r="B28" s="189">
        <f>Inputs!C$2</f>
        <v>1</v>
      </c>
      <c r="C28" s="151">
        <v>389945</v>
      </c>
      <c r="D28" s="188" t="s">
        <v>183</v>
      </c>
      <c r="E28" s="148">
        <v>60</v>
      </c>
      <c r="F28" s="188" t="s">
        <v>120</v>
      </c>
      <c r="G28" s="188"/>
      <c r="H28" s="191" t="s">
        <v>219</v>
      </c>
      <c r="I28" s="210">
        <f t="shared" si="0"/>
        <v>1503</v>
      </c>
      <c r="J28" s="189">
        <f t="shared" si="2"/>
        <v>203</v>
      </c>
      <c r="K28" s="151">
        <v>1706</v>
      </c>
      <c r="L28" s="211">
        <f t="shared" si="1"/>
        <v>25.05</v>
      </c>
      <c r="M28" s="151">
        <v>938822</v>
      </c>
      <c r="N28" s="152" t="s">
        <v>236</v>
      </c>
      <c r="O28" s="157" t="s">
        <v>51</v>
      </c>
      <c r="P28" s="187">
        <f>IF(D28=Inputs!F$2,Inputs!I$2,IF(D28=Inputs!F$3,Inputs!I$3,IF(D28=Inputs!F$4,Inputs!I$4,IF(D28=Inputs!F$5,Inputs!I$5,"NA"))))</f>
        <v>56.892857142857146</v>
      </c>
    </row>
    <row r="29" spans="1:16" x14ac:dyDescent="0.35">
      <c r="A29" s="148">
        <v>23</v>
      </c>
      <c r="B29" s="189">
        <f>Inputs!C$2</f>
        <v>1</v>
      </c>
      <c r="C29" s="151">
        <v>389946</v>
      </c>
      <c r="D29" s="188" t="s">
        <v>5</v>
      </c>
      <c r="E29" s="148">
        <v>60</v>
      </c>
      <c r="F29" s="188" t="s">
        <v>120</v>
      </c>
      <c r="G29" s="188"/>
      <c r="H29" s="191" t="s">
        <v>219</v>
      </c>
      <c r="I29" s="210">
        <f t="shared" si="0"/>
        <v>1469</v>
      </c>
      <c r="J29" s="189">
        <f t="shared" si="2"/>
        <v>203</v>
      </c>
      <c r="K29" s="151">
        <v>1672</v>
      </c>
      <c r="L29" s="211">
        <f t="shared" si="1"/>
        <v>24.483333333333334</v>
      </c>
      <c r="M29" s="151">
        <v>938822</v>
      </c>
      <c r="N29" s="152" t="s">
        <v>236</v>
      </c>
      <c r="O29" s="157" t="s">
        <v>51</v>
      </c>
      <c r="P29" s="187">
        <f>IF(D29=Inputs!F$2,Inputs!I$2,IF(D29=Inputs!F$3,Inputs!I$3,IF(D29=Inputs!F$4,Inputs!I$4,IF(D29=Inputs!F$5,Inputs!I$5,"NA"))))</f>
        <v>30.464285714285715</v>
      </c>
    </row>
    <row r="30" spans="1:16" x14ac:dyDescent="0.35">
      <c r="A30" s="148">
        <v>24</v>
      </c>
      <c r="B30" s="189">
        <f>Inputs!C$2</f>
        <v>1</v>
      </c>
      <c r="C30" s="151">
        <v>389947</v>
      </c>
      <c r="D30" s="188" t="s">
        <v>5</v>
      </c>
      <c r="E30" s="148">
        <v>60</v>
      </c>
      <c r="F30" s="188" t="s">
        <v>120</v>
      </c>
      <c r="G30" s="188"/>
      <c r="H30" s="191" t="s">
        <v>219</v>
      </c>
      <c r="I30" s="210">
        <f t="shared" si="0"/>
        <v>1483</v>
      </c>
      <c r="J30" s="189">
        <f t="shared" si="2"/>
        <v>203</v>
      </c>
      <c r="K30" s="151">
        <v>1686</v>
      </c>
      <c r="L30" s="211">
        <f t="shared" si="1"/>
        <v>24.716666666666665</v>
      </c>
      <c r="M30" s="151">
        <v>938822</v>
      </c>
      <c r="N30" s="152" t="s">
        <v>236</v>
      </c>
      <c r="O30" s="157" t="s">
        <v>51</v>
      </c>
      <c r="P30" s="187">
        <f>IF(D30=Inputs!F$2,Inputs!I$2,IF(D30=Inputs!F$3,Inputs!I$3,IF(D30=Inputs!F$4,Inputs!I$4,IF(D30=Inputs!F$5,Inputs!I$5,"NA"))))</f>
        <v>30.464285714285715</v>
      </c>
    </row>
    <row r="31" spans="1:16" x14ac:dyDescent="0.35">
      <c r="A31" s="148">
        <v>25</v>
      </c>
      <c r="B31" s="189">
        <f>Inputs!C$2</f>
        <v>1</v>
      </c>
      <c r="C31" s="151">
        <v>389948</v>
      </c>
      <c r="D31" s="188" t="s">
        <v>181</v>
      </c>
      <c r="E31" s="148">
        <v>60</v>
      </c>
      <c r="F31" s="188" t="s">
        <v>120</v>
      </c>
      <c r="G31" s="188"/>
      <c r="H31" s="191" t="s">
        <v>219</v>
      </c>
      <c r="I31" s="210">
        <f t="shared" si="0"/>
        <v>1477</v>
      </c>
      <c r="J31" s="189">
        <f t="shared" si="2"/>
        <v>203</v>
      </c>
      <c r="K31" s="151">
        <v>1680</v>
      </c>
      <c r="L31" s="211">
        <f t="shared" si="1"/>
        <v>24.616666666666667</v>
      </c>
      <c r="M31" s="151">
        <v>938822</v>
      </c>
      <c r="N31" s="152" t="s">
        <v>236</v>
      </c>
      <c r="O31" s="157" t="s">
        <v>52</v>
      </c>
      <c r="P31" s="187">
        <f>IF(D31=Inputs!F$2,Inputs!I$2,IF(D31=Inputs!F$3,Inputs!I$3,IF(D31=Inputs!F$4,Inputs!I$4,IF(D31=Inputs!F$5,Inputs!I$5,"NA"))))</f>
        <v>64.892857142857139</v>
      </c>
    </row>
    <row r="32" spans="1:16" x14ac:dyDescent="0.35">
      <c r="A32" s="148">
        <v>26</v>
      </c>
      <c r="B32" s="189">
        <f>Inputs!C$2</f>
        <v>1</v>
      </c>
      <c r="C32" s="151">
        <v>389949</v>
      </c>
      <c r="D32" s="188" t="s">
        <v>183</v>
      </c>
      <c r="E32" s="148">
        <v>60</v>
      </c>
      <c r="F32" s="188" t="s">
        <v>120</v>
      </c>
      <c r="G32" s="188"/>
      <c r="H32" s="191" t="s">
        <v>219</v>
      </c>
      <c r="I32" s="210">
        <f t="shared" si="0"/>
        <v>1499</v>
      </c>
      <c r="J32" s="189">
        <f t="shared" si="2"/>
        <v>203</v>
      </c>
      <c r="K32" s="151">
        <v>1702</v>
      </c>
      <c r="L32" s="211">
        <f t="shared" si="1"/>
        <v>24.983333333333334</v>
      </c>
      <c r="M32" s="151">
        <v>938822</v>
      </c>
      <c r="N32" s="152" t="s">
        <v>236</v>
      </c>
      <c r="O32" s="157" t="s">
        <v>51</v>
      </c>
      <c r="P32" s="187">
        <f>IF(D32=Inputs!F$2,Inputs!I$2,IF(D32=Inputs!F$3,Inputs!I$3,IF(D32=Inputs!F$4,Inputs!I$4,IF(D32=Inputs!F$5,Inputs!I$5,"NA"))))</f>
        <v>56.892857142857146</v>
      </c>
    </row>
    <row r="33" spans="1:16" x14ac:dyDescent="0.35">
      <c r="A33" s="148">
        <v>27</v>
      </c>
      <c r="B33" s="189">
        <f>Inputs!C$2</f>
        <v>1</v>
      </c>
      <c r="C33" s="151">
        <v>389950</v>
      </c>
      <c r="D33" s="188" t="s">
        <v>7</v>
      </c>
      <c r="E33" s="148">
        <v>60</v>
      </c>
      <c r="F33" s="188" t="s">
        <v>120</v>
      </c>
      <c r="G33" s="188"/>
      <c r="H33" s="191" t="s">
        <v>219</v>
      </c>
      <c r="I33" s="210">
        <f t="shared" si="0"/>
        <v>1521</v>
      </c>
      <c r="J33" s="189">
        <f t="shared" si="2"/>
        <v>203</v>
      </c>
      <c r="K33" s="151">
        <v>1724</v>
      </c>
      <c r="L33" s="211">
        <f t="shared" si="1"/>
        <v>25.35</v>
      </c>
      <c r="M33" s="151">
        <v>938822</v>
      </c>
      <c r="N33" s="152" t="s">
        <v>236</v>
      </c>
      <c r="O33" s="157" t="s">
        <v>51</v>
      </c>
      <c r="P33" s="187">
        <f>IF(D33=Inputs!F$2,Inputs!I$2,IF(D33=Inputs!F$3,Inputs!I$3,IF(D33=Inputs!F$4,Inputs!I$4,IF(D33=Inputs!F$5,Inputs!I$5,"NA"))))</f>
        <v>38.892857142857146</v>
      </c>
    </row>
    <row r="34" spans="1:16" x14ac:dyDescent="0.35">
      <c r="A34" s="148">
        <v>28</v>
      </c>
      <c r="B34" s="189">
        <f>Inputs!C$2</f>
        <v>1</v>
      </c>
      <c r="C34" s="151">
        <v>389951</v>
      </c>
      <c r="D34" s="188" t="s">
        <v>7</v>
      </c>
      <c r="E34" s="148">
        <v>60</v>
      </c>
      <c r="F34" s="188" t="s">
        <v>120</v>
      </c>
      <c r="G34" s="188"/>
      <c r="H34" s="191" t="s">
        <v>219</v>
      </c>
      <c r="I34" s="210">
        <f t="shared" si="0"/>
        <v>1521</v>
      </c>
      <c r="J34" s="189">
        <f t="shared" si="2"/>
        <v>203</v>
      </c>
      <c r="K34" s="151">
        <v>1724</v>
      </c>
      <c r="L34" s="211">
        <f t="shared" si="1"/>
        <v>25.35</v>
      </c>
      <c r="M34" s="151">
        <v>938822</v>
      </c>
      <c r="N34" s="152" t="s">
        <v>236</v>
      </c>
      <c r="O34" s="157" t="s">
        <v>51</v>
      </c>
      <c r="P34" s="187">
        <f>IF(D34=Inputs!F$2,Inputs!I$2,IF(D34=Inputs!F$3,Inputs!I$3,IF(D34=Inputs!F$4,Inputs!I$4,IF(D34=Inputs!F$5,Inputs!I$5,"NA"))))</f>
        <v>38.892857142857146</v>
      </c>
    </row>
    <row r="35" spans="1:16" x14ac:dyDescent="0.35">
      <c r="A35" s="148">
        <v>29</v>
      </c>
      <c r="B35" s="189">
        <f>Inputs!C$2</f>
        <v>1</v>
      </c>
      <c r="C35" s="151">
        <v>389952</v>
      </c>
      <c r="D35" s="188" t="s">
        <v>7</v>
      </c>
      <c r="E35" s="148">
        <v>60</v>
      </c>
      <c r="F35" s="188" t="s">
        <v>120</v>
      </c>
      <c r="G35" s="188"/>
      <c r="H35" s="191" t="s">
        <v>219</v>
      </c>
      <c r="I35" s="210">
        <f t="shared" si="0"/>
        <v>1549</v>
      </c>
      <c r="J35" s="189">
        <f t="shared" si="2"/>
        <v>203</v>
      </c>
      <c r="K35" s="151">
        <v>1752</v>
      </c>
      <c r="L35" s="211">
        <f t="shared" si="1"/>
        <v>25.816666666666666</v>
      </c>
      <c r="M35" s="151">
        <v>938822</v>
      </c>
      <c r="N35" s="152" t="s">
        <v>236</v>
      </c>
      <c r="O35" s="157" t="s">
        <v>51</v>
      </c>
      <c r="P35" s="187">
        <f>IF(D35=Inputs!F$2,Inputs!I$2,IF(D35=Inputs!F$3,Inputs!I$3,IF(D35=Inputs!F$4,Inputs!I$4,IF(D35=Inputs!F$5,Inputs!I$5,"NA"))))</f>
        <v>38.892857142857146</v>
      </c>
    </row>
    <row r="36" spans="1:16" x14ac:dyDescent="0.35">
      <c r="A36" s="148">
        <v>30</v>
      </c>
      <c r="B36" s="189">
        <f>Inputs!C$2</f>
        <v>1</v>
      </c>
      <c r="C36" s="151">
        <v>389953</v>
      </c>
      <c r="D36" s="188" t="s">
        <v>7</v>
      </c>
      <c r="E36" s="148"/>
      <c r="F36" s="188" t="s">
        <v>120</v>
      </c>
      <c r="G36" s="188"/>
      <c r="H36" s="191" t="s">
        <v>219</v>
      </c>
      <c r="I36" s="210">
        <f t="shared" si="0"/>
        <v>1541</v>
      </c>
      <c r="J36" s="189">
        <f t="shared" si="2"/>
        <v>203</v>
      </c>
      <c r="K36" s="151">
        <v>1744</v>
      </c>
      <c r="L36" s="211" t="e">
        <f t="shared" si="1"/>
        <v>#DIV/0!</v>
      </c>
      <c r="M36" s="151">
        <v>938822</v>
      </c>
      <c r="N36" s="152" t="s">
        <v>236</v>
      </c>
      <c r="O36" s="157" t="s">
        <v>51</v>
      </c>
      <c r="P36" s="187">
        <f>IF(D36=Inputs!F$2,Inputs!I$2,IF(D36=Inputs!F$3,Inputs!I$3,IF(D36=Inputs!F$4,Inputs!I$4,IF(D36=Inputs!F$5,Inputs!I$5,"NA"))))</f>
        <v>38.892857142857146</v>
      </c>
    </row>
    <row r="37" spans="1:16" x14ac:dyDescent="0.35">
      <c r="A37" s="148">
        <v>31</v>
      </c>
      <c r="B37" s="189">
        <f>Inputs!C$2</f>
        <v>1</v>
      </c>
      <c r="C37" s="151">
        <v>389954</v>
      </c>
      <c r="D37" s="188" t="s">
        <v>181</v>
      </c>
      <c r="E37" s="148"/>
      <c r="F37" s="188" t="s">
        <v>120</v>
      </c>
      <c r="G37" s="188"/>
      <c r="H37" s="191" t="s">
        <v>219</v>
      </c>
      <c r="I37" s="210">
        <f t="shared" si="0"/>
        <v>1521</v>
      </c>
      <c r="J37" s="189">
        <f t="shared" si="2"/>
        <v>203</v>
      </c>
      <c r="K37" s="151">
        <v>1724</v>
      </c>
      <c r="L37" s="211" t="e">
        <f t="shared" si="1"/>
        <v>#DIV/0!</v>
      </c>
      <c r="M37" s="151">
        <v>938822</v>
      </c>
      <c r="N37" s="152" t="s">
        <v>236</v>
      </c>
      <c r="O37" s="157" t="s">
        <v>51</v>
      </c>
      <c r="P37" s="187">
        <f>IF(D37=Inputs!F$2,Inputs!I$2,IF(D37=Inputs!F$3,Inputs!I$3,IF(D37=Inputs!F$4,Inputs!I$4,IF(D37=Inputs!F$5,Inputs!I$5,"NA"))))</f>
        <v>64.892857142857139</v>
      </c>
    </row>
    <row r="38" spans="1:16" x14ac:dyDescent="0.35">
      <c r="A38" s="148">
        <v>32</v>
      </c>
      <c r="B38" s="189">
        <f>Inputs!C$2</f>
        <v>1</v>
      </c>
      <c r="C38" s="151">
        <v>389955</v>
      </c>
      <c r="D38" s="188" t="s">
        <v>181</v>
      </c>
      <c r="E38" s="148"/>
      <c r="F38" s="188" t="s">
        <v>120</v>
      </c>
      <c r="G38" s="188"/>
      <c r="H38" s="191" t="s">
        <v>219</v>
      </c>
      <c r="I38" s="210">
        <f t="shared" si="0"/>
        <v>1513</v>
      </c>
      <c r="J38" s="189">
        <f t="shared" si="2"/>
        <v>203</v>
      </c>
      <c r="K38" s="151">
        <v>1716</v>
      </c>
      <c r="L38" s="211" t="e">
        <f t="shared" si="1"/>
        <v>#DIV/0!</v>
      </c>
      <c r="M38" s="151">
        <v>938822</v>
      </c>
      <c r="N38" s="152" t="s">
        <v>236</v>
      </c>
      <c r="O38" s="157" t="s">
        <v>51</v>
      </c>
      <c r="P38" s="187">
        <f>IF(D38=Inputs!F$2,Inputs!I$2,IF(D38=Inputs!F$3,Inputs!I$3,IF(D38=Inputs!F$4,Inputs!I$4,IF(D38=Inputs!F$5,Inputs!I$5,"NA"))))</f>
        <v>64.892857142857139</v>
      </c>
    </row>
    <row r="39" spans="1:16" x14ac:dyDescent="0.35">
      <c r="A39" s="148">
        <v>33</v>
      </c>
      <c r="B39" s="189">
        <f>Inputs!C$2</f>
        <v>1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35">
      <c r="A40" s="148">
        <v>34</v>
      </c>
      <c r="B40" s="189">
        <f>Inputs!C$2</f>
        <v>1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35">
      <c r="A41" s="148">
        <v>35</v>
      </c>
      <c r="B41" s="189">
        <f>Inputs!C$2</f>
        <v>1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35">
      <c r="A42" s="148">
        <v>36</v>
      </c>
      <c r="B42" s="189">
        <f>Inputs!C$2</f>
        <v>1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35">
      <c r="A43" s="148">
        <v>37</v>
      </c>
      <c r="B43" s="189">
        <f>Inputs!C$2</f>
        <v>1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35">
      <c r="A44" s="148">
        <v>38</v>
      </c>
      <c r="B44" s="189">
        <f>Inputs!C$2</f>
        <v>1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35">
      <c r="A45" s="148">
        <v>39</v>
      </c>
      <c r="B45" s="189">
        <f>Inputs!C$2</f>
        <v>1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35">
      <c r="A46" s="148">
        <v>40</v>
      </c>
      <c r="B46" s="189">
        <f>Inputs!C$2</f>
        <v>1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35">
      <c r="A47" s="148">
        <v>41</v>
      </c>
      <c r="B47" s="189">
        <f>Inputs!C$2</f>
        <v>1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35">
      <c r="A48" s="148">
        <v>42</v>
      </c>
      <c r="B48" s="189">
        <f>Inputs!C$2</f>
        <v>1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35">
      <c r="A49" s="148">
        <v>43</v>
      </c>
      <c r="B49" s="189">
        <f>Inputs!C$2</f>
        <v>1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35">
      <c r="A50" s="148">
        <v>44</v>
      </c>
      <c r="B50" s="189">
        <f>Inputs!C$2</f>
        <v>1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35">
      <c r="A51" s="148">
        <v>45</v>
      </c>
      <c r="B51" s="189">
        <f>Inputs!C$2</f>
        <v>1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35">
      <c r="A52" s="148">
        <v>46</v>
      </c>
      <c r="B52" s="189">
        <f>Inputs!C$2</f>
        <v>1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35">
      <c r="A53" s="148">
        <v>47</v>
      </c>
      <c r="B53" s="189">
        <f>Inputs!C$2</f>
        <v>1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35">
      <c r="A54" s="148">
        <v>48</v>
      </c>
      <c r="B54" s="189">
        <f>Inputs!C$2</f>
        <v>1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35">
      <c r="A55" s="148">
        <v>49</v>
      </c>
      <c r="B55" s="189">
        <f>Inputs!C$2</f>
        <v>1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35">
      <c r="A56" s="148">
        <v>50</v>
      </c>
      <c r="B56" s="189">
        <f>Inputs!C$2</f>
        <v>1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35">
      <c r="A57" s="148">
        <v>51</v>
      </c>
      <c r="B57" s="189">
        <f>Inputs!C$2</f>
        <v>1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35">
      <c r="A58" s="148">
        <v>52</v>
      </c>
      <c r="B58" s="189">
        <f>Inputs!C$2</f>
        <v>1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35">
      <c r="A59" s="148">
        <v>53</v>
      </c>
      <c r="B59" s="189">
        <f>Inputs!C$2</f>
        <v>1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35">
      <c r="A60" s="148">
        <v>54</v>
      </c>
      <c r="B60" s="189">
        <f>Inputs!C$2</f>
        <v>1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35">
      <c r="A61" s="148">
        <v>55</v>
      </c>
      <c r="B61" s="189">
        <f>Inputs!C$2</f>
        <v>1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35">
      <c r="A62" s="148">
        <v>56</v>
      </c>
      <c r="B62" s="189">
        <f>Inputs!C$2</f>
        <v>1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35">
      <c r="A63" s="148">
        <v>57</v>
      </c>
      <c r="B63" s="189">
        <f>Inputs!C$2</f>
        <v>1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35">
      <c r="A64" s="148">
        <v>58</v>
      </c>
      <c r="B64" s="189">
        <f>Inputs!C$2</f>
        <v>1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35">
      <c r="A65" s="148">
        <v>59</v>
      </c>
      <c r="B65" s="189">
        <f>Inputs!C$2</f>
        <v>1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35">
      <c r="A66" s="148">
        <v>60</v>
      </c>
      <c r="B66" s="189">
        <f>Inputs!C$2</f>
        <v>1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35">
      <c r="A67" s="148">
        <v>61</v>
      </c>
      <c r="B67" s="189">
        <f>Inputs!C$2</f>
        <v>1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35">
      <c r="A68" s="148">
        <v>62</v>
      </c>
      <c r="B68" s="189">
        <f>Inputs!C$2</f>
        <v>1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35">
      <c r="A69" s="148">
        <v>63</v>
      </c>
      <c r="B69" s="189">
        <f>Inputs!C$2</f>
        <v>1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35">
      <c r="A70" s="148">
        <v>64</v>
      </c>
      <c r="B70" s="189">
        <f>Inputs!C$2</f>
        <v>1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35">
      <c r="A71" s="148">
        <v>65</v>
      </c>
      <c r="B71" s="189">
        <f>Inputs!C$2</f>
        <v>1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35">
      <c r="A72" s="148">
        <v>66</v>
      </c>
      <c r="B72" s="189">
        <f>Inputs!C$2</f>
        <v>1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35">
      <c r="A73" s="148">
        <v>67</v>
      </c>
      <c r="B73" s="189">
        <f>Inputs!C$2</f>
        <v>1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35">
      <c r="A74" s="148">
        <v>68</v>
      </c>
      <c r="B74" s="189">
        <f>Inputs!C$2</f>
        <v>1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35">
      <c r="A75" s="148">
        <v>69</v>
      </c>
      <c r="B75" s="189">
        <f>Inputs!C$2</f>
        <v>1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35">
      <c r="A76" s="148">
        <v>70</v>
      </c>
      <c r="B76" s="189">
        <f>Inputs!C$2</f>
        <v>1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35">
      <c r="A77" s="148">
        <v>71</v>
      </c>
      <c r="B77" s="189">
        <f>Inputs!C$2</f>
        <v>1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35">
      <c r="A78" s="148">
        <v>72</v>
      </c>
      <c r="B78" s="189">
        <f>Inputs!C$2</f>
        <v>1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35">
      <c r="A79" s="148">
        <v>73</v>
      </c>
      <c r="B79" s="189">
        <f>Inputs!C$2</f>
        <v>1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35">
      <c r="A80" s="148">
        <v>74</v>
      </c>
      <c r="B80" s="189">
        <f>Inputs!C$2</f>
        <v>1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35">
      <c r="A81" s="148">
        <v>75</v>
      </c>
      <c r="B81" s="189">
        <f>Inputs!C$2</f>
        <v>1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35">
      <c r="A82" s="148">
        <v>76</v>
      </c>
      <c r="B82" s="189">
        <f>Inputs!C$2</f>
        <v>1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 codeName="Sheet6">
    <tabColor rgb="FFFFFF00"/>
  </sheetPr>
  <dimension ref="A1:L52"/>
  <sheetViews>
    <sheetView tabSelected="1" view="pageLayout" topLeftCell="A31" zoomScaleNormal="100" workbookViewId="0">
      <selection activeCell="A34" sqref="A34:E52"/>
    </sheetView>
  </sheetViews>
  <sheetFormatPr defaultRowHeight="12.5" x14ac:dyDescent="0.25"/>
  <cols>
    <col min="1" max="1" width="10.453125" customWidth="1"/>
    <col min="2" max="2" width="8" customWidth="1"/>
    <col min="3" max="3" width="8.7265625" customWidth="1"/>
    <col min="4" max="4" width="8.81640625" customWidth="1"/>
    <col min="5" max="5" width="7.54296875" customWidth="1"/>
    <col min="7" max="7" width="9.81640625" customWidth="1"/>
    <col min="8" max="8" width="2" customWidth="1"/>
    <col min="9" max="9" width="7.453125" customWidth="1"/>
    <col min="10" max="11" width="7.1796875" customWidth="1"/>
    <col min="12" max="12" width="7" customWidth="1"/>
  </cols>
  <sheetData>
    <row r="1" spans="1:12" x14ac:dyDescent="0.25">
      <c r="B1" s="170" t="s">
        <v>210</v>
      </c>
      <c r="C1" s="168">
        <v>2025</v>
      </c>
      <c r="G1" s="166" t="s">
        <v>217</v>
      </c>
      <c r="I1" s="166" t="s">
        <v>218</v>
      </c>
      <c r="J1" s="166" t="s">
        <v>234</v>
      </c>
      <c r="K1" s="166" t="s">
        <v>221</v>
      </c>
    </row>
    <row r="2" spans="1:12" x14ac:dyDescent="0.25">
      <c r="B2" s="24" t="s">
        <v>101</v>
      </c>
      <c r="C2" s="168">
        <v>1</v>
      </c>
      <c r="F2" s="166" t="s">
        <v>183</v>
      </c>
      <c r="G2" s="186">
        <v>45264</v>
      </c>
      <c r="I2" s="205">
        <f>(C$3-G2)/7</f>
        <v>56.892857142857146</v>
      </c>
      <c r="J2" s="230">
        <f>I2-19</f>
        <v>37.892857142857146</v>
      </c>
      <c r="K2" s="166" t="s">
        <v>219</v>
      </c>
      <c r="L2">
        <v>203</v>
      </c>
    </row>
    <row r="3" spans="1:12" x14ac:dyDescent="0.25">
      <c r="B3" s="170" t="s">
        <v>209</v>
      </c>
      <c r="C3" s="244">
        <f>C2*7+(C1-1900)*365.25-1</f>
        <v>45662.25</v>
      </c>
      <c r="D3" s="245"/>
      <c r="F3" s="166" t="s">
        <v>7</v>
      </c>
      <c r="G3" s="186">
        <v>45390</v>
      </c>
      <c r="I3" s="205">
        <f>(C$3-G3)/7</f>
        <v>38.892857142857146</v>
      </c>
      <c r="J3" s="230">
        <f>I3-19</f>
        <v>19.892857142857146</v>
      </c>
      <c r="K3" s="166" t="s">
        <v>220</v>
      </c>
      <c r="L3">
        <v>192</v>
      </c>
    </row>
    <row r="4" spans="1:12" x14ac:dyDescent="0.25">
      <c r="F4" s="166" t="s">
        <v>181</v>
      </c>
      <c r="G4" s="186">
        <v>45208</v>
      </c>
      <c r="I4" s="205">
        <f>(C$3-G4)/7</f>
        <v>64.892857142857139</v>
      </c>
      <c r="J4" s="230">
        <f>I4-19</f>
        <v>45.892857142857139</v>
      </c>
    </row>
    <row r="5" spans="1:12" x14ac:dyDescent="0.25">
      <c r="A5" s="166" t="s">
        <v>222</v>
      </c>
      <c r="B5" s="246" t="s">
        <v>235</v>
      </c>
      <c r="C5" s="246"/>
      <c r="F5" s="166" t="s">
        <v>5</v>
      </c>
      <c r="G5" s="186">
        <v>45449</v>
      </c>
      <c r="I5" s="205">
        <f>(C$3-G5)/7</f>
        <v>30.464285714285715</v>
      </c>
      <c r="J5" s="230">
        <f>I5-19</f>
        <v>11.464285714285715</v>
      </c>
    </row>
    <row r="6" spans="1:12" ht="6.75" customHeight="1" x14ac:dyDescent="0.25"/>
    <row r="7" spans="1:12" ht="13" x14ac:dyDescent="0.3">
      <c r="A7" s="169" t="s">
        <v>195</v>
      </c>
    </row>
    <row r="8" spans="1:12" ht="13" x14ac:dyDescent="0.3">
      <c r="A8" s="167" t="s">
        <v>188</v>
      </c>
      <c r="E8" s="167" t="s">
        <v>189</v>
      </c>
    </row>
    <row r="9" spans="1:12" x14ac:dyDescent="0.25">
      <c r="A9" s="139" t="s">
        <v>187</v>
      </c>
      <c r="B9" s="139" t="s">
        <v>51</v>
      </c>
      <c r="C9" s="139" t="s">
        <v>52</v>
      </c>
      <c r="E9" s="139" t="s">
        <v>187</v>
      </c>
      <c r="F9" s="139" t="s">
        <v>51</v>
      </c>
      <c r="G9" s="139" t="s">
        <v>52</v>
      </c>
    </row>
    <row r="10" spans="1:12" x14ac:dyDescent="0.25">
      <c r="A10" s="139">
        <v>3</v>
      </c>
      <c r="B10" s="168">
        <v>90</v>
      </c>
      <c r="C10" s="168">
        <v>10</v>
      </c>
      <c r="E10" s="139">
        <v>3</v>
      </c>
      <c r="F10" s="168">
        <v>110</v>
      </c>
      <c r="G10" s="168">
        <v>13</v>
      </c>
    </row>
    <row r="11" spans="1:12" x14ac:dyDescent="0.25">
      <c r="A11" s="139">
        <v>6</v>
      </c>
      <c r="B11" s="168">
        <v>216</v>
      </c>
      <c r="C11" s="165"/>
      <c r="E11" s="139">
        <v>6</v>
      </c>
      <c r="F11" s="168">
        <v>225</v>
      </c>
      <c r="G11" s="165"/>
    </row>
    <row r="12" spans="1:12" x14ac:dyDescent="0.25">
      <c r="A12" s="139">
        <v>7</v>
      </c>
      <c r="B12" s="168">
        <v>170</v>
      </c>
      <c r="C12" s="168">
        <v>18</v>
      </c>
      <c r="E12" s="139">
        <v>7</v>
      </c>
      <c r="F12" s="168">
        <v>194</v>
      </c>
      <c r="G12" s="168">
        <v>22</v>
      </c>
    </row>
    <row r="13" spans="1:12" x14ac:dyDescent="0.25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ht="13" x14ac:dyDescent="0.3">
      <c r="A14" s="167" t="s">
        <v>190</v>
      </c>
      <c r="E14" s="167" t="s">
        <v>191</v>
      </c>
    </row>
    <row r="15" spans="1:12" x14ac:dyDescent="0.25">
      <c r="A15" s="139" t="s">
        <v>187</v>
      </c>
      <c r="B15" s="139" t="s">
        <v>51</v>
      </c>
      <c r="C15" s="139" t="s">
        <v>52</v>
      </c>
      <c r="E15" s="139" t="s">
        <v>187</v>
      </c>
      <c r="F15" s="139" t="s">
        <v>51</v>
      </c>
      <c r="G15" s="139" t="s">
        <v>52</v>
      </c>
    </row>
    <row r="16" spans="1:12" x14ac:dyDescent="0.25">
      <c r="A16" s="139">
        <v>3</v>
      </c>
      <c r="B16" s="168">
        <v>108</v>
      </c>
      <c r="C16" s="168">
        <v>11</v>
      </c>
      <c r="E16" s="139">
        <v>3</v>
      </c>
      <c r="F16" s="168">
        <v>98</v>
      </c>
      <c r="G16" s="168">
        <v>10</v>
      </c>
    </row>
    <row r="17" spans="1:11" x14ac:dyDescent="0.25">
      <c r="A17" s="139">
        <v>6</v>
      </c>
      <c r="B17" s="168">
        <v>222</v>
      </c>
      <c r="C17" s="165"/>
      <c r="E17" s="139">
        <v>6</v>
      </c>
      <c r="F17" s="168">
        <v>210</v>
      </c>
      <c r="G17" s="165"/>
    </row>
    <row r="18" spans="1:11" x14ac:dyDescent="0.25">
      <c r="A18" s="139">
        <v>7</v>
      </c>
      <c r="B18" s="168">
        <v>192</v>
      </c>
      <c r="C18" s="168">
        <v>21</v>
      </c>
      <c r="E18" s="139">
        <v>7</v>
      </c>
      <c r="F18" s="168">
        <v>178</v>
      </c>
      <c r="G18" s="168">
        <v>21</v>
      </c>
    </row>
    <row r="19" spans="1:11" x14ac:dyDescent="0.25">
      <c r="A19" s="139">
        <v>11</v>
      </c>
      <c r="B19" s="168">
        <v>102</v>
      </c>
      <c r="C19" s="165"/>
      <c r="E19" s="139">
        <v>11</v>
      </c>
      <c r="F19" s="168">
        <v>108</v>
      </c>
      <c r="G19" s="165"/>
    </row>
    <row r="21" spans="1:11" ht="13" x14ac:dyDescent="0.3">
      <c r="A21" s="167" t="s">
        <v>192</v>
      </c>
      <c r="E21" s="167" t="s">
        <v>193</v>
      </c>
    </row>
    <row r="22" spans="1:11" x14ac:dyDescent="0.25">
      <c r="A22" s="139" t="s">
        <v>187</v>
      </c>
      <c r="B22" s="139" t="s">
        <v>51</v>
      </c>
      <c r="C22" s="139" t="s">
        <v>52</v>
      </c>
      <c r="E22" s="139" t="s">
        <v>187</v>
      </c>
      <c r="F22" s="139" t="s">
        <v>51</v>
      </c>
      <c r="G22" s="139" t="s">
        <v>52</v>
      </c>
    </row>
    <row r="23" spans="1:11" x14ac:dyDescent="0.25">
      <c r="A23" s="139">
        <v>3</v>
      </c>
      <c r="B23" s="168">
        <v>110</v>
      </c>
      <c r="C23" s="168">
        <v>11</v>
      </c>
      <c r="E23" s="139">
        <v>3</v>
      </c>
      <c r="F23" s="168">
        <v>107</v>
      </c>
      <c r="G23" s="168">
        <v>11</v>
      </c>
    </row>
    <row r="24" spans="1:11" x14ac:dyDescent="0.25">
      <c r="A24" s="139">
        <v>6</v>
      </c>
      <c r="B24" s="168">
        <v>222</v>
      </c>
      <c r="C24" s="165"/>
      <c r="E24" s="139">
        <v>6</v>
      </c>
      <c r="F24" s="168">
        <v>222</v>
      </c>
      <c r="G24" s="165"/>
    </row>
    <row r="25" spans="1:11" x14ac:dyDescent="0.25">
      <c r="A25" s="139">
        <v>7</v>
      </c>
      <c r="B25" s="168">
        <v>176</v>
      </c>
      <c r="C25" s="168">
        <v>22</v>
      </c>
      <c r="E25" s="139">
        <v>7</v>
      </c>
      <c r="F25" s="168">
        <v>180</v>
      </c>
      <c r="G25" s="168">
        <v>21</v>
      </c>
    </row>
    <row r="26" spans="1:11" x14ac:dyDescent="0.25">
      <c r="A26" s="139">
        <v>11</v>
      </c>
      <c r="B26" s="168">
        <v>108</v>
      </c>
      <c r="C26" s="165"/>
      <c r="E26" s="139">
        <v>11</v>
      </c>
      <c r="F26" s="168">
        <v>117</v>
      </c>
      <c r="G26" s="165"/>
    </row>
    <row r="27" spans="1:11" ht="13" x14ac:dyDescent="0.3">
      <c r="A27" s="167" t="s">
        <v>194</v>
      </c>
      <c r="E27" s="167" t="s">
        <v>196</v>
      </c>
      <c r="I27" s="167" t="s">
        <v>197</v>
      </c>
    </row>
    <row r="28" spans="1:11" x14ac:dyDescent="0.25">
      <c r="A28" s="139" t="s">
        <v>187</v>
      </c>
      <c r="B28" s="139" t="s">
        <v>51</v>
      </c>
      <c r="C28" s="139" t="s">
        <v>52</v>
      </c>
      <c r="E28" s="139" t="s">
        <v>187</v>
      </c>
      <c r="F28" s="139" t="s">
        <v>51</v>
      </c>
      <c r="G28" s="139" t="s">
        <v>52</v>
      </c>
      <c r="I28" s="139" t="s">
        <v>187</v>
      </c>
      <c r="J28" s="139" t="s">
        <v>51</v>
      </c>
      <c r="K28" s="139" t="s">
        <v>52</v>
      </c>
    </row>
    <row r="29" spans="1:11" x14ac:dyDescent="0.25">
      <c r="A29" s="139">
        <v>3</v>
      </c>
      <c r="B29" s="168">
        <v>107</v>
      </c>
      <c r="C29" s="168">
        <v>11</v>
      </c>
      <c r="E29" s="139">
        <v>3</v>
      </c>
      <c r="F29" s="203">
        <f t="shared" ref="F29:G32" si="0">B10+F10+B16+F16+B23+F23+B29</f>
        <v>730</v>
      </c>
      <c r="G29" s="203">
        <f t="shared" si="0"/>
        <v>77</v>
      </c>
      <c r="I29" s="139">
        <v>3</v>
      </c>
      <c r="J29" s="203">
        <f t="shared" ref="J29:K31" si="1">F29*15</f>
        <v>10950</v>
      </c>
      <c r="K29" s="203">
        <f t="shared" si="1"/>
        <v>1155</v>
      </c>
    </row>
    <row r="30" spans="1:11" x14ac:dyDescent="0.25">
      <c r="A30" s="139">
        <v>6</v>
      </c>
      <c r="B30" s="168">
        <v>220</v>
      </c>
      <c r="C30" s="165"/>
      <c r="E30" s="139">
        <v>6</v>
      </c>
      <c r="F30" s="203">
        <f t="shared" si="0"/>
        <v>1537</v>
      </c>
      <c r="G30" s="204">
        <f t="shared" si="0"/>
        <v>0</v>
      </c>
      <c r="I30" s="139">
        <v>6</v>
      </c>
      <c r="J30" s="203">
        <f t="shared" si="1"/>
        <v>23055</v>
      </c>
      <c r="K30" s="204">
        <f t="shared" si="1"/>
        <v>0</v>
      </c>
    </row>
    <row r="31" spans="1:11" x14ac:dyDescent="0.25">
      <c r="A31" s="139">
        <v>7</v>
      </c>
      <c r="B31" s="168">
        <v>170</v>
      </c>
      <c r="C31" s="168">
        <v>20</v>
      </c>
      <c r="E31" s="139">
        <v>7</v>
      </c>
      <c r="F31" s="203">
        <f t="shared" si="0"/>
        <v>1260</v>
      </c>
      <c r="G31" s="203">
        <f t="shared" si="0"/>
        <v>145</v>
      </c>
      <c r="I31" s="139">
        <v>7</v>
      </c>
      <c r="J31" s="203">
        <f t="shared" si="1"/>
        <v>18900</v>
      </c>
      <c r="K31" s="203">
        <f t="shared" si="1"/>
        <v>2175</v>
      </c>
    </row>
    <row r="32" spans="1:11" x14ac:dyDescent="0.25">
      <c r="A32" s="139">
        <v>11</v>
      </c>
      <c r="B32" s="168">
        <v>110</v>
      </c>
      <c r="C32" s="165"/>
      <c r="E32" s="139">
        <v>11</v>
      </c>
      <c r="F32" s="203">
        <f t="shared" si="0"/>
        <v>761</v>
      </c>
      <c r="G32" s="204">
        <f t="shared" si="0"/>
        <v>0</v>
      </c>
      <c r="I32" s="139">
        <v>11</v>
      </c>
      <c r="J32" s="203">
        <f>F32*15</f>
        <v>11415</v>
      </c>
      <c r="K32" s="204">
        <f>G32*180/12</f>
        <v>0</v>
      </c>
    </row>
    <row r="34" spans="1:9" ht="13" x14ac:dyDescent="0.3">
      <c r="A34" s="167" t="s">
        <v>198</v>
      </c>
      <c r="G34" s="167" t="s">
        <v>229</v>
      </c>
    </row>
    <row r="35" spans="1:9" x14ac:dyDescent="0.25">
      <c r="A35" s="139"/>
      <c r="B35" s="172" t="s">
        <v>237</v>
      </c>
      <c r="C35" s="172" t="s">
        <v>185</v>
      </c>
      <c r="D35" s="172" t="s">
        <v>186</v>
      </c>
      <c r="E35" s="172" t="s">
        <v>184</v>
      </c>
      <c r="G35" s="243" t="s">
        <v>223</v>
      </c>
      <c r="H35" s="243"/>
      <c r="I35" s="225">
        <v>240</v>
      </c>
    </row>
    <row r="36" spans="1:9" x14ac:dyDescent="0.25">
      <c r="A36" s="172" t="s">
        <v>107</v>
      </c>
      <c r="B36" s="201">
        <f>B37+B38</f>
        <v>0.30599999999999999</v>
      </c>
      <c r="C36" s="201">
        <f>C37+C38</f>
        <v>0.39500000000000002</v>
      </c>
      <c r="D36" s="201">
        <f>D37+D38</f>
        <v>0.22599999999999998</v>
      </c>
      <c r="E36" s="201">
        <f>E37+E38</f>
        <v>0.34099999999999997</v>
      </c>
      <c r="G36" s="243" t="s">
        <v>224</v>
      </c>
      <c r="H36" s="243"/>
      <c r="I36" s="225">
        <v>0</v>
      </c>
    </row>
    <row r="37" spans="1:9" x14ac:dyDescent="0.25">
      <c r="A37" s="172" t="s">
        <v>199</v>
      </c>
      <c r="B37" s="173">
        <v>4.3999999999999997E-2</v>
      </c>
      <c r="C37" s="173">
        <v>7.2999999999999995E-2</v>
      </c>
      <c r="D37" s="173">
        <v>1.7999999999999999E-2</v>
      </c>
      <c r="E37" s="173">
        <v>5.3999999999999999E-2</v>
      </c>
      <c r="G37" s="243" t="s">
        <v>225</v>
      </c>
      <c r="H37" s="243"/>
      <c r="I37" s="225">
        <v>720</v>
      </c>
    </row>
    <row r="38" spans="1:9" x14ac:dyDescent="0.25">
      <c r="A38" s="172" t="s">
        <v>200</v>
      </c>
      <c r="B38" s="173">
        <v>0.26200000000000001</v>
      </c>
      <c r="C38" s="173">
        <v>0.32200000000000001</v>
      </c>
      <c r="D38" s="173">
        <v>0.20799999999999999</v>
      </c>
      <c r="E38" s="173">
        <v>0.28699999999999998</v>
      </c>
      <c r="G38" s="243" t="s">
        <v>226</v>
      </c>
      <c r="H38" s="243"/>
      <c r="I38" s="225">
        <v>540</v>
      </c>
    </row>
    <row r="39" spans="1:9" x14ac:dyDescent="0.25">
      <c r="A39" s="172" t="s">
        <v>201</v>
      </c>
      <c r="B39" s="173">
        <v>0.60099999999999998</v>
      </c>
      <c r="C39" s="173">
        <v>0.53500000000000003</v>
      </c>
      <c r="D39" s="173">
        <v>0.66900000000000004</v>
      </c>
      <c r="E39" s="173">
        <v>0.55800000000000005</v>
      </c>
      <c r="G39" s="243" t="s">
        <v>227</v>
      </c>
      <c r="H39" s="243"/>
      <c r="I39" s="225">
        <v>120</v>
      </c>
    </row>
    <row r="40" spans="1:9" x14ac:dyDescent="0.25">
      <c r="A40" s="172" t="s">
        <v>202</v>
      </c>
      <c r="B40" s="173">
        <v>0.08</v>
      </c>
      <c r="C40" s="173">
        <v>0.05</v>
      </c>
      <c r="D40" s="173">
        <v>8.8999999999999996E-2</v>
      </c>
      <c r="E40" s="173">
        <v>0.08</v>
      </c>
      <c r="G40" s="243" t="s">
        <v>228</v>
      </c>
      <c r="H40" s="243"/>
      <c r="I40" s="225">
        <v>240</v>
      </c>
    </row>
    <row r="41" spans="1:9" x14ac:dyDescent="0.25">
      <c r="A41" s="172" t="s">
        <v>211</v>
      </c>
      <c r="B41" s="173">
        <v>1E-3</v>
      </c>
      <c r="C41" s="173">
        <v>5.0000000000000002E-5</v>
      </c>
      <c r="D41" s="173">
        <v>1E-3</v>
      </c>
      <c r="E41" s="173">
        <v>1E-3</v>
      </c>
      <c r="G41" s="243" t="s">
        <v>230</v>
      </c>
      <c r="H41" s="243"/>
      <c r="I41" s="225">
        <v>60</v>
      </c>
    </row>
    <row r="42" spans="1:9" x14ac:dyDescent="0.25">
      <c r="A42" s="172" t="s">
        <v>212</v>
      </c>
      <c r="B42" s="173">
        <v>0</v>
      </c>
      <c r="C42" s="173">
        <v>5.0000000000000001E-4</v>
      </c>
      <c r="D42" s="173">
        <v>0</v>
      </c>
      <c r="E42" s="173">
        <v>0</v>
      </c>
    </row>
    <row r="43" spans="1:9" x14ac:dyDescent="0.25">
      <c r="A43" s="233" t="s">
        <v>213</v>
      </c>
      <c r="B43" s="202">
        <f>SUM(B47:B50)</f>
        <v>1.2E-2</v>
      </c>
      <c r="C43" s="202">
        <f>SUM(C47:C50)</f>
        <v>1.9E-2</v>
      </c>
      <c r="D43" s="202">
        <f>SUM(D47:D50)</f>
        <v>1.4999999999999999E-2</v>
      </c>
      <c r="E43" s="202">
        <f>SUM(E47:E50)</f>
        <v>0.02</v>
      </c>
    </row>
    <row r="44" spans="1:9" x14ac:dyDescent="0.25">
      <c r="A44" s="233" t="s">
        <v>231</v>
      </c>
      <c r="B44" s="232">
        <v>61.887</v>
      </c>
      <c r="C44" s="232">
        <v>62.96</v>
      </c>
      <c r="D44" s="232">
        <v>61.1</v>
      </c>
      <c r="E44" s="232">
        <v>62.21</v>
      </c>
    </row>
    <row r="45" spans="1:9" x14ac:dyDescent="0.25">
      <c r="A45" s="233" t="s">
        <v>233</v>
      </c>
      <c r="B45" s="231"/>
      <c r="C45" s="231"/>
      <c r="D45" s="231"/>
      <c r="E45" s="231"/>
    </row>
    <row r="46" spans="1:9" x14ac:dyDescent="0.25">
      <c r="A46" s="233" t="s">
        <v>232</v>
      </c>
      <c r="B46" s="232"/>
      <c r="C46" s="232"/>
      <c r="D46" s="232"/>
      <c r="E46" s="232"/>
    </row>
    <row r="47" spans="1:9" x14ac:dyDescent="0.25">
      <c r="A47" s="172" t="s">
        <v>203</v>
      </c>
      <c r="B47" s="173">
        <v>0</v>
      </c>
      <c r="C47" s="173">
        <v>1E-3</v>
      </c>
      <c r="D47" s="173">
        <v>1E-3</v>
      </c>
      <c r="E47" s="173">
        <v>2E-3</v>
      </c>
    </row>
    <row r="48" spans="1:9" x14ac:dyDescent="0.25">
      <c r="A48" s="172" t="s">
        <v>204</v>
      </c>
      <c r="B48" s="173">
        <v>1E-3</v>
      </c>
      <c r="C48" s="173">
        <v>4.0000000000000001E-3</v>
      </c>
      <c r="D48" s="173">
        <v>5.0000000000000001E-3</v>
      </c>
      <c r="E48" s="173">
        <v>0</v>
      </c>
    </row>
    <row r="49" spans="1:5" x14ac:dyDescent="0.25">
      <c r="A49" s="172" t="s">
        <v>205</v>
      </c>
      <c r="B49" s="173">
        <v>6.0000000000000001E-3</v>
      </c>
      <c r="C49" s="173">
        <v>3.0000000000000001E-3</v>
      </c>
      <c r="D49" s="173">
        <v>1E-3</v>
      </c>
      <c r="E49" s="173">
        <v>4.0000000000000001E-3</v>
      </c>
    </row>
    <row r="50" spans="1:5" x14ac:dyDescent="0.25">
      <c r="A50" s="172" t="s">
        <v>206</v>
      </c>
      <c r="B50" s="173">
        <v>5.0000000000000001E-3</v>
      </c>
      <c r="C50" s="173">
        <v>1.0999999999999999E-2</v>
      </c>
      <c r="D50" s="173">
        <v>8.0000000000000002E-3</v>
      </c>
      <c r="E50" s="173">
        <v>1.4E-2</v>
      </c>
    </row>
    <row r="51" spans="1:5" x14ac:dyDescent="0.25">
      <c r="A51" s="166"/>
      <c r="B51" s="234"/>
      <c r="C51" s="234"/>
      <c r="D51" s="234"/>
      <c r="E51" s="234"/>
    </row>
    <row r="52" spans="1:5" x14ac:dyDescent="0.25">
      <c r="A52" s="166" t="s">
        <v>214</v>
      </c>
      <c r="B52" s="202">
        <f>SUM(B37:B42)+SUM(B47:B50)</f>
        <v>1</v>
      </c>
      <c r="C52" s="202">
        <f>SUM(C37:C42)+SUM(C47:C50)</f>
        <v>0.99955000000000005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796875" defaultRowHeight="12.5" x14ac:dyDescent="0.25"/>
  <cols>
    <col min="1" max="1024" width="9.1796875" style="5"/>
  </cols>
  <sheetData>
    <row r="1" spans="1:20" ht="15.5" x14ac:dyDescent="0.3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5" x14ac:dyDescent="0.3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5" x14ac:dyDescent="0.3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5" x14ac:dyDescent="0.3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.5" x14ac:dyDescent="0.35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.5" x14ac:dyDescent="0.35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.5" x14ac:dyDescent="0.35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.5" x14ac:dyDescent="0.3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.5" x14ac:dyDescent="0.35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.5" x14ac:dyDescent="0.35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.5" x14ac:dyDescent="0.35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.5" x14ac:dyDescent="0.35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.5" x14ac:dyDescent="0.35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.5" x14ac:dyDescent="0.35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.5" x14ac:dyDescent="0.35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.5" x14ac:dyDescent="0.35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5" x14ac:dyDescent="0.3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.5" x14ac:dyDescent="0.35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.5" x14ac:dyDescent="0.3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5" x14ac:dyDescent="0.3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.5" x14ac:dyDescent="0.3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.5" x14ac:dyDescent="0.35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5" x14ac:dyDescent="0.3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5" x14ac:dyDescent="0.3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5" x14ac:dyDescent="0.3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5" x14ac:dyDescent="0.3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5" x14ac:dyDescent="0.3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5" x14ac:dyDescent="0.3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.5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.5" x14ac:dyDescent="0.35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.5" x14ac:dyDescent="0.35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5" x14ac:dyDescent="0.3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5" x14ac:dyDescent="0.3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.5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.5" x14ac:dyDescent="0.35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.5" x14ac:dyDescent="0.35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.5" x14ac:dyDescent="0.35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.5" x14ac:dyDescent="0.35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.5" x14ac:dyDescent="0.35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.5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.5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.5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.5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.5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.5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.5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.5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.5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.5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.5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.5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.5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.5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.5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.5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.5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.5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.5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.5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.5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.5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.5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.5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.5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.5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.5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rgb="FF7030A0"/>
  </sheetPr>
  <dimension ref="A1:B17"/>
  <sheetViews>
    <sheetView zoomScaleNormal="100" workbookViewId="0">
      <selection activeCell="E13" sqref="E13"/>
    </sheetView>
  </sheetViews>
  <sheetFormatPr defaultColWidth="8.7265625" defaultRowHeight="12.5" x14ac:dyDescent="0.25"/>
  <cols>
    <col min="1" max="1" width="18.81640625" customWidth="1"/>
    <col min="2" max="2" width="39.7265625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4" t="s">
        <v>181</v>
      </c>
      <c r="B2" s="3" t="s">
        <v>182</v>
      </c>
    </row>
    <row r="3" spans="1:2" x14ac:dyDescent="0.25">
      <c r="A3" s="4" t="s">
        <v>5</v>
      </c>
      <c r="B3" s="3" t="s">
        <v>6</v>
      </c>
    </row>
    <row r="4" spans="1:2" x14ac:dyDescent="0.25">
      <c r="A4" s="2" t="s">
        <v>183</v>
      </c>
      <c r="B4" s="3" t="s">
        <v>3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9</v>
      </c>
    </row>
    <row r="8" spans="1:2" ht="13" x14ac:dyDescent="0.3">
      <c r="A8" s="1" t="s">
        <v>10</v>
      </c>
    </row>
    <row r="9" spans="1:2" x14ac:dyDescent="0.25">
      <c r="A9" s="2" t="s">
        <v>11</v>
      </c>
    </row>
    <row r="10" spans="1:2" x14ac:dyDescent="0.25">
      <c r="A10" s="2" t="s">
        <v>12</v>
      </c>
    </row>
    <row r="11" spans="1:2" x14ac:dyDescent="0.25">
      <c r="A11" s="2" t="s">
        <v>13</v>
      </c>
    </row>
    <row r="12" spans="1:2" x14ac:dyDescent="0.25">
      <c r="A12" s="2" t="s">
        <v>14</v>
      </c>
    </row>
    <row r="15" spans="1:2" ht="13" x14ac:dyDescent="0.3">
      <c r="A15" s="224" t="s">
        <v>15</v>
      </c>
    </row>
    <row r="16" spans="1:2" x14ac:dyDescent="0.25">
      <c r="A16" s="190" t="s">
        <v>219</v>
      </c>
      <c r="B16" s="3" t="s">
        <v>16</v>
      </c>
    </row>
    <row r="17" spans="1:2" x14ac:dyDescent="0.25">
      <c r="A17" s="190" t="s">
        <v>220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Hilly Acres Farm Ltd. (2)</vt:lpstr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aaron eyking</cp:lastModifiedBy>
  <cp:revision>3</cp:revision>
  <cp:lastPrinted>2024-06-17T13:10:15Z</cp:lastPrinted>
  <dcterms:created xsi:type="dcterms:W3CDTF">2019-08-23T14:41:05Z</dcterms:created>
  <dcterms:modified xsi:type="dcterms:W3CDTF">2025-07-21T12:34:25Z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