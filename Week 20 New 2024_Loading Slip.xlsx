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B51AD470-4629-4BDD-B0AC-6AB00BD9EE9F}" xr6:coauthVersionLast="47" xr6:coauthVersionMax="47" xr10:uidLastSave="{00000000-0000-0000-0000-000000000000}"/>
  <bookViews>
    <workbookView xWindow="-120" yWindow="-120" windowWidth="29040" windowHeight="15510" activeTab="1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C81" i="8" s="1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<sst xmlns="http://schemas.openxmlformats.org/spreadsheetml/2006/main" count="1130" uniqueCount="194">
  <si>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</si>
  <si>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</si>
  <si>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</si>
  <si>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</si>
  <si>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</si>
  <si>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</si>
  <si>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</si>
  <si>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</si>
  <si>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</si>
  <si>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</si>
  <si>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</si>
  <si>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</si>
  <si>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</si>
  <si>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</si>
  <si>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</si>
  <si>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</si>
  <si>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</si>
  <si>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</si>
  <si>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</si>
  <si>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</si>
  <si>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</si>
  <si>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</si>
  <si>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</si>
  <si>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</si>
  <si>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</si>
  <si>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</si>
  <si>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</si>
  <si>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</si>
  <si>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</si>
  <si>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</si>
  <si>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</si>
  <si>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</si>
  <si>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</si>
  <si>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</si>
  <si>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</si>
  <si>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</si>
  <si>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</si>
  <si>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</si>
  <si>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</si>
  <si>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</si>
  <si>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</si>
  <si>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</si>
  <si>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</si>
  <si>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</si>
  <si>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</si>
  <si>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</si>
  <si>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</si>
  <si>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</si>
  <si>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</si>
  <si>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</si>
  <si>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</si>
  <si>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</si>
  <si>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</si>
  <si>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</si>
  <si>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</si>
  <si>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</si>
  <si>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</si>
  <si>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</si>
  <si>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</si>
  <si>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</si>
  <si>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</si>
  <si>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</si>
  <si>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</si>
  <si>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</si>
  <si>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</si>
  <si>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</si>
  <si>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</si>
  <si>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</si>
  <si>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</si>
  <si>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</si>
  <si>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</si>
  <si>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</si>
  <si>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</si>
  <si>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</si>
  <si>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</si>
  <si>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</si>
  <si>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</si>
  <si>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</si>
  <si>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</si>
  <si>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</si>
  <si>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</si>
  <si>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</si>
  <si>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</si>
  <si>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</si>
  <si>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</si>
  <si>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</si>
  <si>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</si>
  <si>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</si>
  <si>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</si>
  <si>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</si>
  <si>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</si>
  <si>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</si>
  <si>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</si>
  <si>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</si>
  <si>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</si>
  <si>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</si>
  <si>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</si>
  <si>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</si>
  <si>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</si>
  <si>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</si>
  <si>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</si>
  <si>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</si>
  <si>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</si>
  <si>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</si>
  <si>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</si>
  <si>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</si>
  <si>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</si>
  <si>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</si>
  <si>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</si>
  <si>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</si>
  <si>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</si>
  <si>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</si>
  <si>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</si>
  <si>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</si>
  <si>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</si>
  <si>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</si>
  <si>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</si>
  <si>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</si>
  <si>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</si>
  <si>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</si>
  <si>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</si>
  <si>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</si>
  <si>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</si>
  <si>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</si>
  <si>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</si>
  <si>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</si>
  <si>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</si>
  <si>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</si>
  <si>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</si>
  <si>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</si>
  <si>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</si>
  <si>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</si>
  <si>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</si>
  <si>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</si>
  <si>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</si>
  <si>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</si>
  <si>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</si>
  <si>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</si>
  <si>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</si>
  <si>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</si>
  <si>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</si>
  <si>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</si>
  <si>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</si>
  <si>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</si>
  <si>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</si>
  <si>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</si>
  <si>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</si>
  <si>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</si>
  <si>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</si>
  <si>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</si>
  <si>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</si>
  <si>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</si>
  <si>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</si>
  <si>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</si>
  <si>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</si>
  <si>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</si>
  <si>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</si>
  <si>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</si>
  <si>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</si>
  <si>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</si>
  <si>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</si>
  <si>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</si>
  <si>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</si>
  <si>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</si>
  <si>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</si>
  <si>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</si>
  <si>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</si>
  <si>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</si>
  <si>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</si>
  <si>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</si>
  <si>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</si>
  <si>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</si>
  <si>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</si>
  <si>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</si>
  <si>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</si>
  <si>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</si>
  <si>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</si>
  <si>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</si>
  <si>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</si>
  <si>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</si>
  <si>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</si>
  <si>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</si>
  <si>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</si>
  <si>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</si>
  <si>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</si>
  <si>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</si>
  <si>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</si>
  <si>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</si>
  <si>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</si>
  <si>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</si>
  <si>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</si>
  <si>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</si>
  <si>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</si>
  <si>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>Lg Eyk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</si>
</sst>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0" xfId="0" applyNumberFormat="1" applyFont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K43" sqref="K43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2" t="s">
        <v>138</v>
      </c>
      <c r="B1" s="92"/>
      <c r="C1" s="91">
        <f>DATE(2024,1,1)+(B2-1)*7</f>
        <v>45425</v>
      </c>
      <c r="D1" s="92"/>
      <c r="E1" s="92"/>
      <c r="G1" s="63" t="s">
        <v>175</v>
      </c>
      <c r="H1" s="65">
        <f>C1+42-1</f>
        <v>45466</v>
      </c>
      <c r="K1" s="19" t="s">
        <v>38</v>
      </c>
    </row>
    <row r="2" spans="1:11" ht="15.75" x14ac:dyDescent="0.25">
      <c r="A2" s="41" t="s">
        <v>137</v>
      </c>
      <c r="B2" s="50">
        <v>20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/>
      <c r="B5" s="2" t="s">
        <v>41</v>
      </c>
      <c r="D5" s="39"/>
      <c r="E5" s="2" t="s">
        <v>45</v>
      </c>
      <c r="G5" s="39"/>
      <c r="H5" s="2" t="s">
        <v>19</v>
      </c>
    </row>
    <row r="6" spans="1:11" x14ac:dyDescent="0.25">
      <c r="A6" s="39"/>
      <c r="B6" s="2" t="s">
        <v>42</v>
      </c>
      <c r="D6" s="39"/>
      <c r="E6" s="2" t="s">
        <v>46</v>
      </c>
      <c r="G6" s="39"/>
      <c r="H6" s="2" t="s">
        <v>20</v>
      </c>
    </row>
    <row r="7" spans="1:11" x14ac:dyDescent="0.25">
      <c r="A7" s="39"/>
      <c r="B7" s="2" t="s">
        <v>4</v>
      </c>
      <c r="D7" s="39"/>
      <c r="E7" s="2" t="s">
        <v>30</v>
      </c>
      <c r="G7" s="39"/>
      <c r="H7" s="2" t="s">
        <v>27</v>
      </c>
    </row>
    <row r="8" spans="1:11" x14ac:dyDescent="0.25">
      <c r="A8" s="39"/>
      <c r="B8" s="2" t="s">
        <v>5</v>
      </c>
      <c r="D8" s="39"/>
      <c r="E8" s="2" t="s">
        <v>135</v>
      </c>
      <c r="G8" s="39"/>
      <c r="H8" s="2" t="s">
        <v>21</v>
      </c>
    </row>
    <row r="9" spans="1:11" x14ac:dyDescent="0.25">
      <c r="A9" s="39"/>
      <c r="B9" s="2" t="s">
        <v>6</v>
      </c>
      <c r="D9" s="39"/>
      <c r="E9" s="2" t="s">
        <v>47</v>
      </c>
      <c r="G9" s="39"/>
      <c r="H9" s="2" t="s">
        <v>23</v>
      </c>
    </row>
    <row r="10" spans="1:11" x14ac:dyDescent="0.25">
      <c r="A10" s="39"/>
      <c r="B10" s="2" t="s">
        <v>9</v>
      </c>
      <c r="D10" s="39"/>
      <c r="E10" s="16" t="s">
        <v>7</v>
      </c>
      <c r="G10" s="39"/>
      <c r="H10" s="2" t="s">
        <v>22</v>
      </c>
    </row>
    <row r="11" spans="1:11" x14ac:dyDescent="0.25">
      <c r="A11" s="39"/>
      <c r="B11" s="2" t="s">
        <v>7</v>
      </c>
      <c r="D11" s="39">
        <f>SUM(D5:D10)</f>
        <v>0</v>
      </c>
      <c r="E11" s="2" t="s">
        <v>35</v>
      </c>
      <c r="G11" s="39"/>
      <c r="H11" s="2" t="s">
        <v>24</v>
      </c>
    </row>
    <row r="12" spans="1:11" x14ac:dyDescent="0.25">
      <c r="A12" s="39"/>
      <c r="B12" s="2" t="s">
        <v>8</v>
      </c>
      <c r="G12" s="39"/>
      <c r="H12" s="2" t="s">
        <v>25</v>
      </c>
    </row>
    <row r="13" spans="1:11" x14ac:dyDescent="0.25">
      <c r="A13" s="39"/>
      <c r="B13" s="2" t="s">
        <v>44</v>
      </c>
      <c r="D13" s="2" t="s">
        <v>36</v>
      </c>
      <c r="E13" s="16"/>
      <c r="G13" s="39"/>
      <c r="H13" s="2" t="s">
        <v>26</v>
      </c>
    </row>
    <row r="14" spans="1:11" x14ac:dyDescent="0.25">
      <c r="A14" s="39"/>
      <c r="B14" s="2" t="s">
        <v>15</v>
      </c>
      <c r="G14" s="39"/>
      <c r="H14" s="16" t="s">
        <v>28</v>
      </c>
    </row>
    <row r="15" spans="1:11" ht="15.75" thickBot="1" x14ac:dyDescent="0.3">
      <c r="A15" s="39"/>
      <c r="B15" s="2" t="s">
        <v>14</v>
      </c>
      <c r="D15" s="17" t="s">
        <v>50</v>
      </c>
      <c r="E15" s="17"/>
      <c r="G15" s="39">
        <f>SUM(G5:G14)</f>
        <v>0</v>
      </c>
      <c r="H15" s="2" t="s">
        <v>35</v>
      </c>
    </row>
    <row r="16" spans="1:11" x14ac:dyDescent="0.25">
      <c r="A16" s="39"/>
      <c r="B16" s="2" t="s">
        <v>16</v>
      </c>
      <c r="D16" s="39"/>
      <c r="E16" s="2" t="s">
        <v>29</v>
      </c>
      <c r="F16" s="3"/>
      <c r="H16" s="2"/>
    </row>
    <row r="17" spans="1:9" x14ac:dyDescent="0.25">
      <c r="A17" s="39"/>
      <c r="B17" s="2" t="s">
        <v>188</v>
      </c>
      <c r="D17" s="39"/>
      <c r="E17" s="2" t="s">
        <v>30</v>
      </c>
      <c r="G17" s="2" t="s">
        <v>36</v>
      </c>
      <c r="H17" s="16"/>
    </row>
    <row r="18" spans="1:9" x14ac:dyDescent="0.25">
      <c r="A18" s="39"/>
      <c r="B18" s="2" t="s">
        <v>187</v>
      </c>
      <c r="D18" s="39"/>
      <c r="E18" s="16" t="s">
        <v>12</v>
      </c>
    </row>
    <row r="19" spans="1:9" x14ac:dyDescent="0.25">
      <c r="A19" s="39"/>
      <c r="B19" s="2" t="s">
        <v>189</v>
      </c>
      <c r="D19" s="39">
        <f>SUM(D16:D18)</f>
        <v>0</v>
      </c>
      <c r="E19" s="2" t="s">
        <v>35</v>
      </c>
      <c r="I19" s="4"/>
    </row>
    <row r="20" spans="1:9" x14ac:dyDescent="0.25">
      <c r="A20" s="39"/>
      <c r="B20" s="2" t="s">
        <v>13</v>
      </c>
      <c r="I20" s="4"/>
    </row>
    <row r="21" spans="1:9" ht="15.75" thickBot="1" x14ac:dyDescent="0.3">
      <c r="A21" s="39"/>
      <c r="B21" s="16" t="s">
        <v>18</v>
      </c>
      <c r="D21" s="70" t="s">
        <v>86</v>
      </c>
      <c r="E21" s="71"/>
      <c r="F21" s="72"/>
      <c r="G21" s="73" t="s">
        <v>51</v>
      </c>
      <c r="H21" s="74"/>
    </row>
    <row r="22" spans="1:9" x14ac:dyDescent="0.25">
      <c r="A22" s="39">
        <f>SUM(A5:A21)</f>
        <v>0</v>
      </c>
      <c r="B22" s="2" t="s">
        <v>35</v>
      </c>
      <c r="D22" s="75"/>
      <c r="E22" t="s">
        <v>1</v>
      </c>
      <c r="F22" s="2"/>
      <c r="G22" s="39">
        <v>11</v>
      </c>
      <c r="H22" s="76" t="s">
        <v>1</v>
      </c>
    </row>
    <row r="23" spans="1:9" x14ac:dyDescent="0.25">
      <c r="D23" s="77"/>
      <c r="F23" s="2"/>
      <c r="H23" s="76"/>
    </row>
    <row r="24" spans="1:9" ht="15.75" thickBot="1" x14ac:dyDescent="0.3">
      <c r="D24" s="78" t="s">
        <v>87</v>
      </c>
      <c r="E24" s="5"/>
      <c r="G24" s="17" t="s">
        <v>96</v>
      </c>
      <c r="H24" s="79"/>
    </row>
    <row r="25" spans="1:9" ht="15.75" thickBot="1" x14ac:dyDescent="0.3">
      <c r="A25" s="20" t="s">
        <v>43</v>
      </c>
      <c r="B25" s="5"/>
      <c r="C25" s="4"/>
      <c r="D25" s="75">
        <v>3</v>
      </c>
      <c r="E25" t="s">
        <v>1</v>
      </c>
      <c r="F25" s="6"/>
      <c r="G25" s="39"/>
      <c r="H25" s="76" t="s">
        <v>44</v>
      </c>
    </row>
    <row r="26" spans="1:9" x14ac:dyDescent="0.25">
      <c r="A26" s="39"/>
      <c r="B26" s="2" t="s">
        <v>3</v>
      </c>
      <c r="C26" s="4"/>
      <c r="D26" s="77"/>
      <c r="F26" s="2"/>
      <c r="H26" s="76"/>
    </row>
    <row r="27" spans="1:9" ht="15.75" thickBot="1" x14ac:dyDescent="0.3">
      <c r="A27" s="39"/>
      <c r="B27" s="2" t="s">
        <v>40</v>
      </c>
      <c r="C27" s="9"/>
      <c r="D27" s="78" t="s">
        <v>88</v>
      </c>
      <c r="E27" s="5"/>
      <c r="F27" s="2"/>
      <c r="H27" s="76"/>
    </row>
    <row r="28" spans="1:9" x14ac:dyDescent="0.25">
      <c r="A28" s="39"/>
      <c r="B28" s="2" t="s">
        <v>4</v>
      </c>
      <c r="C28" s="10"/>
      <c r="D28" s="75"/>
      <c r="E28" t="s">
        <v>0</v>
      </c>
      <c r="F28" s="2"/>
      <c r="H28" s="76"/>
    </row>
    <row r="29" spans="1:9" ht="15.75" thickBot="1" x14ac:dyDescent="0.3">
      <c r="A29" s="39"/>
      <c r="B29" s="2" t="s">
        <v>5</v>
      </c>
      <c r="C29" s="10"/>
      <c r="D29" s="77"/>
      <c r="F29" s="2"/>
      <c r="G29" s="66" t="s">
        <v>190</v>
      </c>
      <c r="H29" s="80"/>
    </row>
    <row r="30" spans="1:9" x14ac:dyDescent="0.25">
      <c r="A30" s="39"/>
      <c r="B30" s="2" t="s">
        <v>9</v>
      </c>
      <c r="D30" s="77"/>
      <c r="G30" s="69">
        <f>D22+D25+G22</f>
        <v>14</v>
      </c>
      <c r="H30" s="81" t="s">
        <v>1</v>
      </c>
    </row>
    <row r="31" spans="1:9" x14ac:dyDescent="0.25">
      <c r="A31" s="39"/>
      <c r="B31" s="2" t="s">
        <v>7</v>
      </c>
      <c r="D31" s="77"/>
      <c r="G31" s="67">
        <f>D28</f>
        <v>0</v>
      </c>
      <c r="H31" s="81" t="s">
        <v>0</v>
      </c>
    </row>
    <row r="32" spans="1:9" x14ac:dyDescent="0.25">
      <c r="A32" s="39"/>
      <c r="B32" s="16" t="s">
        <v>8</v>
      </c>
      <c r="D32" s="77"/>
      <c r="G32" s="67">
        <f>G25</f>
        <v>0</v>
      </c>
      <c r="H32" s="81" t="s">
        <v>44</v>
      </c>
    </row>
    <row r="33" spans="1:11" x14ac:dyDescent="0.25">
      <c r="A33" s="39">
        <f>SUM(A26:A32)</f>
        <v>0</v>
      </c>
      <c r="B33" s="2" t="s">
        <v>35</v>
      </c>
      <c r="D33" s="82"/>
      <c r="E33" s="83"/>
      <c r="F33" s="83"/>
      <c r="G33" s="83"/>
      <c r="H33" s="84"/>
    </row>
    <row r="34" spans="1:11" ht="21.75" thickBot="1" x14ac:dyDescent="0.4">
      <c r="A34" s="92" t="s">
        <v>138</v>
      </c>
      <c r="B34" s="92"/>
      <c r="C34" s="91">
        <f>C1</f>
        <v>45425</v>
      </c>
      <c r="D34" s="92"/>
      <c r="E34" s="92"/>
      <c r="G34" s="63" t="s">
        <v>175</v>
      </c>
      <c r="H34" s="68">
        <f>H1</f>
        <v>45466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/>
      <c r="B37" s="2" t="s">
        <v>41</v>
      </c>
      <c r="D37" s="39"/>
      <c r="E37" s="2" t="s">
        <v>19</v>
      </c>
      <c r="G37" s="39"/>
      <c r="H37" s="2" t="s">
        <v>19</v>
      </c>
    </row>
    <row r="38" spans="1:11" x14ac:dyDescent="0.25">
      <c r="A38" s="39"/>
      <c r="B38" s="2" t="s">
        <v>42</v>
      </c>
      <c r="D38" s="39"/>
      <c r="E38" s="2" t="s">
        <v>20</v>
      </c>
      <c r="G38" s="39"/>
      <c r="H38" s="2" t="s">
        <v>20</v>
      </c>
    </row>
    <row r="39" spans="1:11" x14ac:dyDescent="0.25">
      <c r="A39" s="39"/>
      <c r="B39" s="2" t="s">
        <v>4</v>
      </c>
      <c r="D39" s="39"/>
      <c r="E39" s="2" t="s">
        <v>27</v>
      </c>
      <c r="G39" s="39"/>
      <c r="H39" s="2" t="s">
        <v>27</v>
      </c>
    </row>
    <row r="40" spans="1:11" x14ac:dyDescent="0.25">
      <c r="A40" s="39"/>
      <c r="B40" s="2" t="s">
        <v>5</v>
      </c>
      <c r="D40" s="39"/>
      <c r="E40" s="2" t="s">
        <v>21</v>
      </c>
      <c r="G40" s="39"/>
      <c r="H40" s="2" t="s">
        <v>21</v>
      </c>
    </row>
    <row r="41" spans="1:11" x14ac:dyDescent="0.25">
      <c r="A41" s="39"/>
      <c r="B41" s="2" t="s">
        <v>6</v>
      </c>
      <c r="D41" s="39"/>
      <c r="E41" s="2" t="s">
        <v>23</v>
      </c>
      <c r="G41" s="39"/>
      <c r="H41" s="2" t="s">
        <v>23</v>
      </c>
    </row>
    <row r="42" spans="1:11" x14ac:dyDescent="0.25">
      <c r="A42" s="39"/>
      <c r="B42" s="2" t="s">
        <v>9</v>
      </c>
      <c r="D42" s="39"/>
      <c r="E42" s="2" t="s">
        <v>22</v>
      </c>
      <c r="G42" s="39"/>
      <c r="H42" s="2" t="s">
        <v>22</v>
      </c>
    </row>
    <row r="43" spans="1:11" x14ac:dyDescent="0.25">
      <c r="A43" s="39"/>
      <c r="B43" s="2" t="s">
        <v>7</v>
      </c>
      <c r="D43" s="39"/>
      <c r="E43" s="2" t="s">
        <v>24</v>
      </c>
      <c r="G43" s="39"/>
      <c r="H43" s="2" t="s">
        <v>24</v>
      </c>
    </row>
    <row r="44" spans="1:11" x14ac:dyDescent="0.25">
      <c r="A44" s="39"/>
      <c r="B44" s="2" t="s">
        <v>8</v>
      </c>
      <c r="D44" s="39"/>
      <c r="E44" s="2" t="s">
        <v>25</v>
      </c>
      <c r="G44" s="39"/>
      <c r="H44" s="2" t="s">
        <v>25</v>
      </c>
    </row>
    <row r="45" spans="1:11" x14ac:dyDescent="0.25">
      <c r="A45" s="39"/>
      <c r="B45" s="2" t="s">
        <v>44</v>
      </c>
      <c r="D45" s="39"/>
      <c r="E45" s="2" t="s">
        <v>26</v>
      </c>
      <c r="G45" s="39"/>
      <c r="H45" s="2" t="s">
        <v>26</v>
      </c>
    </row>
    <row r="46" spans="1:11" x14ac:dyDescent="0.25">
      <c r="A46" s="39"/>
      <c r="B46" s="2" t="s">
        <v>15</v>
      </c>
      <c r="D46" s="39"/>
      <c r="E46" s="16" t="s">
        <v>28</v>
      </c>
      <c r="G46" s="39"/>
      <c r="H46" s="16" t="s">
        <v>28</v>
      </c>
    </row>
    <row r="47" spans="1:11" x14ac:dyDescent="0.25">
      <c r="A47" s="39"/>
      <c r="B47" s="2" t="s">
        <v>14</v>
      </c>
      <c r="D47" s="39">
        <f>SUM(D37:D46)</f>
        <v>0</v>
      </c>
      <c r="E47" s="2" t="s">
        <v>35</v>
      </c>
      <c r="G47" s="39">
        <f>SUM(G37:G46)</f>
        <v>0</v>
      </c>
      <c r="H47" s="2" t="s">
        <v>35</v>
      </c>
    </row>
    <row r="48" spans="1:11" x14ac:dyDescent="0.25">
      <c r="A48" s="39"/>
      <c r="B48" s="2" t="s">
        <v>16</v>
      </c>
      <c r="E48" s="2"/>
      <c r="H48" s="2"/>
    </row>
    <row r="49" spans="1:9" x14ac:dyDescent="0.25">
      <c r="A49" s="39"/>
      <c r="B49" s="2" t="s">
        <v>188</v>
      </c>
      <c r="D49" s="2" t="s">
        <v>36</v>
      </c>
      <c r="E49" s="16"/>
      <c r="G49" s="2" t="s">
        <v>36</v>
      </c>
      <c r="H49" s="16"/>
    </row>
    <row r="50" spans="1:9" x14ac:dyDescent="0.25">
      <c r="A50" s="39"/>
      <c r="B50" s="2" t="s">
        <v>187</v>
      </c>
      <c r="F50" s="2"/>
    </row>
    <row r="51" spans="1:9" x14ac:dyDescent="0.25">
      <c r="A51" s="39"/>
      <c r="B51" s="2" t="s">
        <v>189</v>
      </c>
    </row>
    <row r="52" spans="1:9" ht="15.75" thickBot="1" x14ac:dyDescent="0.3">
      <c r="A52" s="39"/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/>
      <c r="B53" s="16" t="s">
        <v>18</v>
      </c>
      <c r="D53" s="39"/>
      <c r="E53" s="2" t="s">
        <v>29</v>
      </c>
      <c r="G53" s="39"/>
      <c r="H53" s="2" t="s">
        <v>32</v>
      </c>
    </row>
    <row r="54" spans="1:9" x14ac:dyDescent="0.25">
      <c r="A54" s="39">
        <f>SUM(A37:A53)</f>
        <v>0</v>
      </c>
      <c r="B54" s="2" t="s">
        <v>35</v>
      </c>
      <c r="D54" s="39"/>
      <c r="E54" s="2" t="s">
        <v>30</v>
      </c>
      <c r="G54" s="39"/>
      <c r="H54" s="2" t="s">
        <v>31</v>
      </c>
    </row>
    <row r="55" spans="1:9" x14ac:dyDescent="0.25">
      <c r="D55" s="39"/>
      <c r="E55" s="16" t="s">
        <v>12</v>
      </c>
      <c r="G55" s="39"/>
      <c r="H55" s="2" t="s">
        <v>33</v>
      </c>
    </row>
    <row r="56" spans="1:9" x14ac:dyDescent="0.25">
      <c r="B56" s="4"/>
      <c r="D56" s="39">
        <f>SUM(D53:D55)</f>
        <v>0</v>
      </c>
      <c r="E56" s="2" t="s">
        <v>35</v>
      </c>
      <c r="G56" s="39"/>
      <c r="H56" s="2" t="s">
        <v>135</v>
      </c>
    </row>
    <row r="57" spans="1:9" x14ac:dyDescent="0.25">
      <c r="G57" s="39"/>
      <c r="H57" s="2" t="s">
        <v>9</v>
      </c>
    </row>
    <row r="58" spans="1:9" ht="15.75" thickBot="1" x14ac:dyDescent="0.3">
      <c r="D58" s="17" t="s">
        <v>93</v>
      </c>
      <c r="E58" s="17"/>
      <c r="G58" s="39"/>
      <c r="H58" s="16" t="s">
        <v>34</v>
      </c>
    </row>
    <row r="59" spans="1:9" x14ac:dyDescent="0.25">
      <c r="D59" s="39"/>
      <c r="E59" s="2" t="s">
        <v>29</v>
      </c>
      <c r="G59" s="39">
        <f>SUM(G53:G58)</f>
        <v>0</v>
      </c>
      <c r="H59" s="2" t="s">
        <v>35</v>
      </c>
    </row>
    <row r="60" spans="1:9" x14ac:dyDescent="0.25">
      <c r="D60" s="39"/>
      <c r="E60" s="2" t="s">
        <v>30</v>
      </c>
    </row>
    <row r="61" spans="1:9" x14ac:dyDescent="0.25">
      <c r="D61" s="39"/>
      <c r="E61" s="16" t="s">
        <v>12</v>
      </c>
      <c r="G61" s="2" t="s">
        <v>36</v>
      </c>
      <c r="H61" s="16"/>
    </row>
    <row r="62" spans="1:9" x14ac:dyDescent="0.25">
      <c r="D62" s="39">
        <f>SUM(D59:D61)</f>
        <v>0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0</v>
      </c>
      <c r="B70" s="2" t="s">
        <v>41</v>
      </c>
      <c r="C70" s="35">
        <f>D70*15</f>
        <v>0</v>
      </c>
      <c r="D70" s="15">
        <f t="shared" ref="D70:D79" si="0">G5+D37+G37</f>
        <v>0</v>
      </c>
      <c r="E70" s="2" t="s">
        <v>19</v>
      </c>
      <c r="G70" s="13">
        <f>D5+G53</f>
        <v>0</v>
      </c>
      <c r="H70" s="2" t="s">
        <v>45</v>
      </c>
      <c r="J70" s="13">
        <f>A10+D9+A30+A42+G57</f>
        <v>0</v>
      </c>
      <c r="K70" s="2" t="s">
        <v>9</v>
      </c>
    </row>
    <row r="71" spans="1:11" x14ac:dyDescent="0.25">
      <c r="A71" s="26">
        <f>A6+A27+A38</f>
        <v>0</v>
      </c>
      <c r="B71" s="2" t="s">
        <v>42</v>
      </c>
      <c r="C71" s="35">
        <f t="shared" ref="C71:C77" si="1">D71*15</f>
        <v>0</v>
      </c>
      <c r="D71" s="14">
        <f t="shared" si="0"/>
        <v>0</v>
      </c>
      <c r="E71" s="2" t="s">
        <v>20</v>
      </c>
      <c r="G71" s="14">
        <f>D6+D16+D59+G54+D53</f>
        <v>0</v>
      </c>
      <c r="H71" s="2" t="s">
        <v>46</v>
      </c>
      <c r="J71" s="13">
        <f>A11+D10+A31+A43+G58</f>
        <v>0</v>
      </c>
      <c r="K71" s="2" t="s">
        <v>7</v>
      </c>
    </row>
    <row r="72" spans="1:11" x14ac:dyDescent="0.25">
      <c r="A72" s="26">
        <f>A7+A28+A39</f>
        <v>0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0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0</v>
      </c>
      <c r="B73" s="2" t="s">
        <v>5</v>
      </c>
      <c r="C73" s="35">
        <f t="shared" si="1"/>
        <v>0</v>
      </c>
      <c r="D73" s="14">
        <f t="shared" si="0"/>
        <v>0</v>
      </c>
      <c r="E73" s="2" t="s">
        <v>21</v>
      </c>
      <c r="G73" s="14">
        <f>D8+G56</f>
        <v>0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0</v>
      </c>
      <c r="B74" s="2" t="s">
        <v>6</v>
      </c>
      <c r="C74" s="35">
        <f>D74*12</f>
        <v>0</v>
      </c>
      <c r="D74" s="14">
        <f t="shared" si="0"/>
        <v>0</v>
      </c>
      <c r="E74" s="2" t="s">
        <v>23</v>
      </c>
      <c r="J74" s="13">
        <f>A13+G25+A45</f>
        <v>0</v>
      </c>
      <c r="K74" s="2" t="s">
        <v>44</v>
      </c>
    </row>
    <row r="75" spans="1:11" x14ac:dyDescent="0.25">
      <c r="A75" s="21">
        <f>A14+A46</f>
        <v>0</v>
      </c>
      <c r="B75" s="2" t="s">
        <v>15</v>
      </c>
      <c r="C75" s="35">
        <f>D75*10</f>
        <v>0</v>
      </c>
      <c r="D75" s="14">
        <f t="shared" si="0"/>
        <v>0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0</v>
      </c>
      <c r="D76" s="14">
        <f t="shared" si="0"/>
        <v>0</v>
      </c>
      <c r="E76" s="2" t="s">
        <v>24</v>
      </c>
      <c r="J76" s="14">
        <f>D22+D25+G22</f>
        <v>14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0</v>
      </c>
      <c r="K77" s="2" t="s">
        <v>0</v>
      </c>
    </row>
    <row r="78" spans="1:11" x14ac:dyDescent="0.25">
      <c r="B78" s="2"/>
      <c r="C78" s="35">
        <f>D78*8</f>
        <v>0</v>
      </c>
      <c r="D78" s="14">
        <f t="shared" si="0"/>
        <v>0</v>
      </c>
      <c r="E78" s="2" t="s">
        <v>26</v>
      </c>
    </row>
    <row r="79" spans="1:11" x14ac:dyDescent="0.25">
      <c r="C79" s="35">
        <f>D79*8</f>
        <v>0</v>
      </c>
      <c r="D79" s="14">
        <f t="shared" si="0"/>
        <v>0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0</v>
      </c>
      <c r="B85" s="2" t="s">
        <v>14</v>
      </c>
      <c r="F85" s="35">
        <f>G85*15</f>
        <v>0</v>
      </c>
      <c r="G85" s="26">
        <f>A72</f>
        <v>0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0</v>
      </c>
      <c r="B86" s="2" t="s">
        <v>16</v>
      </c>
      <c r="F86" s="35">
        <f t="shared" ref="F86:F89" si="2">G86*15</f>
        <v>0</v>
      </c>
      <c r="G86" s="21">
        <f>A75</f>
        <v>0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0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0</v>
      </c>
      <c r="G88" s="26">
        <f>A73</f>
        <v>0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0</v>
      </c>
      <c r="B89" s="2" t="s">
        <v>12</v>
      </c>
      <c r="F89" s="35">
        <f t="shared" si="2"/>
        <v>0</v>
      </c>
      <c r="G89" s="21">
        <f>G72</f>
        <v>0</v>
      </c>
      <c r="H89" s="2" t="s">
        <v>30</v>
      </c>
      <c r="J89" s="14">
        <f>IF(MOD((D6),24)=0,(D6)/24,0)+IF(MOD((G54),24)=0,(G54)/24,0)</f>
        <v>0</v>
      </c>
      <c r="K89" s="2" t="s">
        <v>46</v>
      </c>
    </row>
    <row r="90" spans="1:11" x14ac:dyDescent="0.25">
      <c r="A90" s="14">
        <f>A20+A52</f>
        <v>0</v>
      </c>
      <c r="B90" s="2" t="s">
        <v>13</v>
      </c>
      <c r="F90" s="35">
        <f>G90*5</f>
        <v>0</v>
      </c>
      <c r="G90" s="21">
        <f>A74</f>
        <v>0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0</v>
      </c>
      <c r="B91" s="2" t="s">
        <v>18</v>
      </c>
      <c r="F91" s="35">
        <f>G91*8</f>
        <v>0</v>
      </c>
      <c r="G91" s="21">
        <f>G73</f>
        <v>0</v>
      </c>
      <c r="H91" s="2" t="s">
        <v>135</v>
      </c>
      <c r="J91" s="14">
        <f>IF(MOD((A11),24)=0,(A11)/24,0)+IF(MOD((D10),24)=0,(D10)/24,0)+IF(MOD((A43),24)=0,(A43)/24,0)+IF(MOD((G58),24)=0,(G58)/24,0)</f>
        <v>0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tabSelected="1" view="pageLayout" topLeftCell="A28" zoomScale="70" zoomScaleNormal="100" zoomScalePageLayoutView="70" workbookViewId="0">
      <selection activeCell="C55" sqref="C55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2" t="s">
        <v>138</v>
      </c>
      <c r="B1" s="92"/>
      <c r="C1" s="91">
        <f>DATE(2024,1,1)+(Mon!B2-1)*7+1</f>
        <v>45426</v>
      </c>
      <c r="D1" s="91"/>
      <c r="E1" s="91"/>
      <c r="G1" s="63" t="s">
        <v>175</v>
      </c>
      <c r="H1" s="65">
        <f>Mon!C1+42-1</f>
        <v>45466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0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4</v>
      </c>
      <c r="B5" s="2" t="s">
        <v>42</v>
      </c>
      <c r="D5" s="39">
        <v>5</v>
      </c>
      <c r="E5" s="2" t="s">
        <v>42</v>
      </c>
      <c r="G5" s="39">
        <v>4</v>
      </c>
      <c r="H5" s="2" t="s">
        <v>42</v>
      </c>
      <c r="J5" s="39">
        <v>5</v>
      </c>
      <c r="K5" s="2" t="s">
        <v>42</v>
      </c>
    </row>
    <row r="6" spans="1:11" ht="12.4" customHeight="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0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20</v>
      </c>
      <c r="B8" s="2" t="s">
        <v>6</v>
      </c>
      <c r="D8" s="39">
        <v>20</v>
      </c>
      <c r="E8" s="2" t="s">
        <v>6</v>
      </c>
      <c r="G8" s="39">
        <v>20</v>
      </c>
      <c r="H8" s="2" t="s">
        <v>6</v>
      </c>
      <c r="J8" s="39">
        <v>10</v>
      </c>
      <c r="K8" s="2" t="s">
        <v>6</v>
      </c>
    </row>
    <row r="9" spans="1:11" ht="12.4" customHeight="1" x14ac:dyDescent="0.25">
      <c r="A9" s="39">
        <v>6</v>
      </c>
      <c r="B9" s="2" t="s">
        <v>9</v>
      </c>
      <c r="D9" s="39">
        <v>5</v>
      </c>
      <c r="E9" s="2" t="s">
        <v>9</v>
      </c>
      <c r="G9" s="39">
        <v>5</v>
      </c>
      <c r="H9" s="2" t="s">
        <v>9</v>
      </c>
      <c r="J9" s="39">
        <v>3</v>
      </c>
      <c r="K9" s="2" t="s">
        <v>9</v>
      </c>
    </row>
    <row r="10" spans="1:11" ht="12.4" customHeight="1" x14ac:dyDescent="0.25">
      <c r="A10" s="39">
        <v>6</v>
      </c>
      <c r="B10" s="2" t="s">
        <v>7</v>
      </c>
      <c r="D10" s="39">
        <v>0</v>
      </c>
      <c r="E10" s="2" t="s">
        <v>7</v>
      </c>
      <c r="G10" s="39">
        <v>3</v>
      </c>
      <c r="H10" s="2" t="s">
        <v>7</v>
      </c>
      <c r="J10" s="39">
        <v>0</v>
      </c>
      <c r="K10" s="2" t="s">
        <v>7</v>
      </c>
    </row>
    <row r="11" spans="1:11" ht="12.4" customHeight="1" x14ac:dyDescent="0.25">
      <c r="A11" s="39">
        <v>24</v>
      </c>
      <c r="B11" s="2" t="s">
        <v>8</v>
      </c>
      <c r="D11" s="39">
        <v>24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2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6</v>
      </c>
      <c r="B13" s="2" t="s">
        <v>15</v>
      </c>
      <c r="D13" s="39">
        <v>0</v>
      </c>
      <c r="E13" s="2" t="s">
        <v>15</v>
      </c>
      <c r="G13" s="39">
        <v>1</v>
      </c>
      <c r="H13" s="2" t="s">
        <v>15</v>
      </c>
      <c r="J13" s="39">
        <f>SUM(J4:J12)</f>
        <v>18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0</v>
      </c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1</v>
      </c>
      <c r="H16" s="2" t="s">
        <v>188</v>
      </c>
      <c r="J16" s="70" t="s">
        <v>61</v>
      </c>
      <c r="K16" s="74"/>
    </row>
    <row r="17" spans="1:17" ht="12.4" customHeight="1" x14ac:dyDescent="0.25">
      <c r="A17" s="39">
        <v>1</v>
      </c>
      <c r="B17" s="2" t="s">
        <v>187</v>
      </c>
      <c r="D17" s="39">
        <v>0</v>
      </c>
      <c r="E17" s="2" t="s">
        <v>187</v>
      </c>
      <c r="F17" s="2"/>
      <c r="G17" s="39">
        <v>1</v>
      </c>
      <c r="H17" s="2" t="s">
        <v>187</v>
      </c>
      <c r="J17" s="75">
        <v>0</v>
      </c>
      <c r="K17" s="76" t="s">
        <v>44</v>
      </c>
    </row>
    <row r="18" spans="1:17" ht="12.4" customHeight="1" x14ac:dyDescent="0.25">
      <c r="A18" s="39">
        <v>0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7"/>
      <c r="K18" s="76"/>
    </row>
    <row r="19" spans="1:17" ht="12.4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8" t="s">
        <v>100</v>
      </c>
      <c r="K19" s="79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5">
        <v>4</v>
      </c>
      <c r="K20" s="76" t="s">
        <v>44</v>
      </c>
    </row>
    <row r="21" spans="1:17" ht="12.4" customHeight="1" x14ac:dyDescent="0.25">
      <c r="A21" s="39">
        <f>SUM(A4:A20)</f>
        <v>70</v>
      </c>
      <c r="B21" s="2" t="s">
        <v>35</v>
      </c>
      <c r="D21" s="39">
        <f>SUM(D4:D20)</f>
        <v>54</v>
      </c>
      <c r="E21" s="2" t="s">
        <v>35</v>
      </c>
      <c r="G21" s="39">
        <f>SUM(G4:G20)</f>
        <v>37</v>
      </c>
      <c r="H21" s="2" t="s">
        <v>35</v>
      </c>
      <c r="J21" s="77"/>
      <c r="K21" s="76"/>
    </row>
    <row r="22" spans="1:17" ht="12.4" customHeight="1" x14ac:dyDescent="0.25">
      <c r="J22" s="77"/>
      <c r="K22" s="76"/>
    </row>
    <row r="23" spans="1:17" ht="12.4" customHeight="1" thickBot="1" x14ac:dyDescent="0.3">
      <c r="J23" s="78" t="s">
        <v>108</v>
      </c>
      <c r="K23" s="79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5">
        <v>12</v>
      </c>
      <c r="K24" s="86" t="s">
        <v>44</v>
      </c>
    </row>
    <row r="25" spans="1:17" ht="12.4" customHeight="1" x14ac:dyDescent="0.25">
      <c r="A25" s="39">
        <v>1</v>
      </c>
      <c r="B25" s="2" t="s">
        <v>45</v>
      </c>
      <c r="D25" s="39">
        <v>0</v>
      </c>
      <c r="E25" s="2" t="s">
        <v>45</v>
      </c>
      <c r="G25" s="39">
        <v>7</v>
      </c>
      <c r="H25" s="2" t="s">
        <v>29</v>
      </c>
      <c r="J25" s="77"/>
      <c r="K25" s="76"/>
    </row>
    <row r="26" spans="1:17" ht="12.4" customHeight="1" thickBot="1" x14ac:dyDescent="0.3">
      <c r="A26" s="39">
        <v>0</v>
      </c>
      <c r="B26" s="2" t="s">
        <v>46</v>
      </c>
      <c r="D26" s="39">
        <v>0</v>
      </c>
      <c r="E26" s="2" t="s">
        <v>46</v>
      </c>
      <c r="G26" s="39">
        <v>0</v>
      </c>
      <c r="H26" s="2" t="s">
        <v>30</v>
      </c>
      <c r="J26" s="78" t="s">
        <v>103</v>
      </c>
      <c r="K26" s="85"/>
    </row>
    <row r="27" spans="1:17" ht="12.4" customHeight="1" x14ac:dyDescent="0.25">
      <c r="A27" s="39">
        <v>1</v>
      </c>
      <c r="B27" s="2" t="s">
        <v>30</v>
      </c>
      <c r="D27" s="39">
        <v>0</v>
      </c>
      <c r="E27" s="2" t="s">
        <v>30</v>
      </c>
      <c r="G27" s="39">
        <v>0</v>
      </c>
      <c r="H27" s="16" t="s">
        <v>12</v>
      </c>
      <c r="J27" s="75">
        <v>15</v>
      </c>
      <c r="K27" s="86" t="s">
        <v>44</v>
      </c>
      <c r="Q27" s="3"/>
    </row>
    <row r="28" spans="1:17" ht="12.4" customHeight="1" x14ac:dyDescent="0.25">
      <c r="A28" s="39">
        <v>0</v>
      </c>
      <c r="B28" s="2" t="s">
        <v>135</v>
      </c>
      <c r="D28" s="39">
        <v>0</v>
      </c>
      <c r="E28" s="2" t="s">
        <v>135</v>
      </c>
      <c r="G28" s="39">
        <f>SUM(G25:G27)</f>
        <v>7</v>
      </c>
      <c r="H28" s="2" t="s">
        <v>35</v>
      </c>
      <c r="J28" s="77"/>
      <c r="K28" s="76"/>
    </row>
    <row r="29" spans="1:17" ht="12.4" customHeight="1" x14ac:dyDescent="0.25">
      <c r="A29" s="39">
        <v>4</v>
      </c>
      <c r="B29" s="2" t="s">
        <v>47</v>
      </c>
      <c r="D29" s="39">
        <v>0</v>
      </c>
      <c r="E29" s="2" t="s">
        <v>47</v>
      </c>
      <c r="J29" s="77"/>
      <c r="K29" s="76"/>
    </row>
    <row r="30" spans="1:17" ht="12.4" customHeight="1" thickBot="1" x14ac:dyDescent="0.3">
      <c r="A30" s="39">
        <v>24</v>
      </c>
      <c r="B30" s="16" t="s">
        <v>77</v>
      </c>
      <c r="D30" s="39">
        <v>0</v>
      </c>
      <c r="E30" s="16" t="s">
        <v>77</v>
      </c>
      <c r="G30" s="17" t="s">
        <v>57</v>
      </c>
      <c r="H30" s="5"/>
      <c r="J30" s="90" t="s">
        <v>186</v>
      </c>
      <c r="K30" s="80"/>
    </row>
    <row r="31" spans="1:17" ht="12.4" customHeight="1" x14ac:dyDescent="0.25">
      <c r="A31" s="39">
        <f>SUM(A25:A30)</f>
        <v>30</v>
      </c>
      <c r="B31" s="2" t="s">
        <v>35</v>
      </c>
      <c r="D31" s="39">
        <f>SUM(D25:D30)</f>
        <v>0</v>
      </c>
      <c r="E31" s="2" t="s">
        <v>35</v>
      </c>
      <c r="G31" s="39">
        <v>2</v>
      </c>
      <c r="H31" t="s">
        <v>1</v>
      </c>
      <c r="J31" s="88">
        <f>J17+J20+J24+J27</f>
        <v>31</v>
      </c>
      <c r="K31" s="89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4868030285</v>
      </c>
      <c r="D33" s="2" t="s">
        <v>36</v>
      </c>
      <c r="E33" s="16"/>
      <c r="G33" s="17" t="s">
        <v>106</v>
      </c>
      <c r="H33" s="5"/>
    </row>
    <row r="34" spans="1:11" ht="12.4" customHeight="1" x14ac:dyDescent="0.25">
      <c r="G34" s="39">
        <v>8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6</v>
      </c>
      <c r="H35" s="16" t="s">
        <v>2</v>
      </c>
    </row>
    <row r="36" spans="1:11" ht="12.4" customHeight="1" x14ac:dyDescent="0.25">
      <c r="A36" s="39">
        <v>10</v>
      </c>
      <c r="B36" s="2" t="s">
        <v>52</v>
      </c>
      <c r="D36" s="39">
        <v>15</v>
      </c>
      <c r="E36" t="s">
        <v>44</v>
      </c>
      <c r="G36" s="39">
        <f>SUM(G34:G35)</f>
        <v>14</v>
      </c>
      <c r="H36" s="2" t="s">
        <v>35</v>
      </c>
    </row>
    <row r="37" spans="1:11" ht="12.4" customHeight="1" x14ac:dyDescent="0.25">
      <c r="A37" s="39">
        <v>0</v>
      </c>
      <c r="B37" s="2" t="s">
        <v>2</v>
      </c>
      <c r="C37" s="23"/>
      <c r="D37" s="39">
        <v>8</v>
      </c>
      <c r="E37" s="16" t="s">
        <v>54</v>
      </c>
      <c r="F37" s="1"/>
    </row>
    <row r="38" spans="1:11" ht="12.4" customHeight="1" thickBot="1" x14ac:dyDescent="0.3">
      <c r="A38" s="39">
        <v>8</v>
      </c>
      <c r="B38" s="16" t="s">
        <v>7</v>
      </c>
      <c r="D38" s="39">
        <f>SUM(D36:D37)</f>
        <v>23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18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1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1</v>
      </c>
      <c r="H43" s="2" t="s">
        <v>45</v>
      </c>
      <c r="J43" s="13">
        <f>A9+A29+G9+J9+D9+D29</f>
        <v>23</v>
      </c>
      <c r="K43" s="2" t="s">
        <v>9</v>
      </c>
    </row>
    <row r="44" spans="1:11" x14ac:dyDescent="0.25">
      <c r="A44" s="26">
        <f>A5+G5+J5+D5</f>
        <v>18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7</v>
      </c>
      <c r="H44" s="2" t="s">
        <v>46</v>
      </c>
      <c r="J44" s="13">
        <f>A10+A30+G10+J10+D10+D30+A38</f>
        <v>41</v>
      </c>
      <c r="K44" s="2" t="s">
        <v>7</v>
      </c>
    </row>
    <row r="45" spans="1:11" x14ac:dyDescent="0.25">
      <c r="A45" s="26">
        <f>A6+G6+J6+D6</f>
        <v>0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1</v>
      </c>
      <c r="H45" s="2" t="s">
        <v>30</v>
      </c>
      <c r="J45" s="13">
        <f>A11+G11+J11+D11</f>
        <v>48</v>
      </c>
      <c r="K45" s="2" t="s">
        <v>8</v>
      </c>
    </row>
    <row r="46" spans="1:11" x14ac:dyDescent="0.25">
      <c r="A46" s="26">
        <f>A7+G7+J7+D7</f>
        <v>0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0</v>
      </c>
      <c r="H46" s="2" t="s">
        <v>134</v>
      </c>
      <c r="J46" s="13">
        <f>G34</f>
        <v>8</v>
      </c>
      <c r="K46" s="2" t="s">
        <v>55</v>
      </c>
    </row>
    <row r="47" spans="1:11" x14ac:dyDescent="0.25">
      <c r="A47" s="26">
        <f>A8+G8+J8+D8+D37</f>
        <v>78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60</v>
      </c>
      <c r="K47" s="2" t="s">
        <v>44</v>
      </c>
    </row>
    <row r="48" spans="1:11" x14ac:dyDescent="0.25">
      <c r="A48" s="21">
        <f>A13+G13+D13</f>
        <v>7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6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0</v>
      </c>
      <c r="B58" s="2" t="s">
        <v>14</v>
      </c>
      <c r="F58" s="35">
        <f>G58*15</f>
        <v>0</v>
      </c>
      <c r="G58" s="26">
        <f>A45</f>
        <v>0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105</v>
      </c>
      <c r="G59" s="21">
        <f>A48</f>
        <v>7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1</v>
      </c>
      <c r="B60" s="2" t="s">
        <v>17</v>
      </c>
      <c r="F60" s="35">
        <f>G60*10</f>
        <v>480</v>
      </c>
      <c r="G60" s="29">
        <f>J45</f>
        <v>48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A17+G17+D17</f>
        <v>2</v>
      </c>
      <c r="B61" s="2" t="s">
        <v>11</v>
      </c>
      <c r="F61" s="35">
        <f t="shared" si="1"/>
        <v>0</v>
      </c>
      <c r="G61" s="26">
        <f>A46</f>
        <v>0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15</v>
      </c>
      <c r="G62" s="21">
        <f>G45</f>
        <v>1</v>
      </c>
      <c r="H62" s="2" t="s">
        <v>30</v>
      </c>
      <c r="J62" s="14">
        <f>IF(MOD((A26),24)=0,(A26)/24,0)+IF(MOD((D26),24)=0,(D26)/24,0)</f>
        <v>0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390</v>
      </c>
      <c r="G63" s="21">
        <f>A47</f>
        <v>78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0</v>
      </c>
      <c r="G64" s="21">
        <f>G46</f>
        <v>0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1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2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topLeftCell="A31" zoomScale="70" zoomScaleNormal="100" zoomScalePageLayoutView="70" workbookViewId="0">
      <selection activeCell="E56" sqref="E56:E57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2" t="s">
        <v>138</v>
      </c>
      <c r="B1" s="92"/>
      <c r="C1" s="91">
        <f>DATE(2024,1,1)+(Mon!B2-1)*7+2</f>
        <v>45427</v>
      </c>
      <c r="D1" s="91"/>
      <c r="E1" s="91"/>
      <c r="G1" s="63" t="s">
        <v>175</v>
      </c>
      <c r="H1" s="65">
        <f>Mon!C1+49-1</f>
        <v>45473</v>
      </c>
      <c r="J1" s="17" t="s">
        <v>121</v>
      </c>
      <c r="K1" s="17"/>
    </row>
    <row r="2" spans="1:11" ht="12.75" customHeight="1" x14ac:dyDescent="0.25">
      <c r="J2" s="39">
        <v>1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2</v>
      </c>
      <c r="K3" s="2" t="s">
        <v>42</v>
      </c>
    </row>
    <row r="4" spans="1:11" ht="12.75" customHeight="1" x14ac:dyDescent="0.25">
      <c r="A4" s="39">
        <v>0</v>
      </c>
      <c r="B4" s="28" t="s">
        <v>1</v>
      </c>
      <c r="D4" s="39">
        <v>1</v>
      </c>
      <c r="E4" s="2" t="s">
        <v>41</v>
      </c>
      <c r="G4" s="39">
        <v>2</v>
      </c>
      <c r="H4" s="2" t="s">
        <v>41</v>
      </c>
      <c r="J4" s="39">
        <v>0</v>
      </c>
      <c r="K4" s="2" t="s">
        <v>5</v>
      </c>
    </row>
    <row r="5" spans="1:11" ht="12.75" customHeight="1" x14ac:dyDescent="0.25">
      <c r="A5" s="25"/>
      <c r="B5" s="2"/>
      <c r="D5" s="39">
        <v>10</v>
      </c>
      <c r="E5" s="2" t="s">
        <v>42</v>
      </c>
      <c r="G5" s="39">
        <v>4</v>
      </c>
      <c r="H5" s="2" t="s">
        <v>42</v>
      </c>
      <c r="J5" s="39">
        <v>12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0</v>
      </c>
      <c r="E6" s="2" t="s">
        <v>5</v>
      </c>
      <c r="G6" s="39">
        <v>2</v>
      </c>
      <c r="H6" s="2" t="s">
        <v>5</v>
      </c>
      <c r="J6" s="39">
        <v>5</v>
      </c>
      <c r="K6" s="2" t="s">
        <v>47</v>
      </c>
    </row>
    <row r="7" spans="1:11" ht="12.75" customHeight="1" x14ac:dyDescent="0.25">
      <c r="A7" s="39">
        <v>2</v>
      </c>
      <c r="B7" s="28" t="s">
        <v>1</v>
      </c>
      <c r="D7" s="39">
        <v>8</v>
      </c>
      <c r="E7" s="2" t="s">
        <v>9</v>
      </c>
      <c r="G7" s="39">
        <v>6</v>
      </c>
      <c r="H7" s="16" t="s">
        <v>6</v>
      </c>
      <c r="J7" s="39">
        <v>12</v>
      </c>
      <c r="K7" s="2" t="s">
        <v>55</v>
      </c>
    </row>
    <row r="8" spans="1:11" ht="12.75" customHeight="1" x14ac:dyDescent="0.25">
      <c r="A8" s="24"/>
      <c r="B8" s="2"/>
      <c r="D8" s="39">
        <v>16</v>
      </c>
      <c r="E8" s="16" t="s">
        <v>7</v>
      </c>
      <c r="G8" s="39">
        <f>SUM(G4:G7)</f>
        <v>14</v>
      </c>
      <c r="H8" s="22" t="s">
        <v>35</v>
      </c>
      <c r="J8" s="39">
        <v>5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35</v>
      </c>
      <c r="E9" s="22" t="s">
        <v>35</v>
      </c>
      <c r="J9" s="39">
        <v>8</v>
      </c>
      <c r="K9" s="2" t="s">
        <v>77</v>
      </c>
    </row>
    <row r="10" spans="1:11" ht="12.75" customHeight="1" x14ac:dyDescent="0.25">
      <c r="A10" s="39">
        <v>2</v>
      </c>
      <c r="B10" s="28" t="s">
        <v>1</v>
      </c>
      <c r="J10" s="39">
        <v>0</v>
      </c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>
        <v>0</v>
      </c>
      <c r="K11" s="16" t="s">
        <v>189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7</v>
      </c>
      <c r="H12" s="2" t="s">
        <v>41</v>
      </c>
      <c r="J12" s="39">
        <f>SUM(J2:J11)</f>
        <v>45</v>
      </c>
      <c r="K12" s="22" t="s">
        <v>35</v>
      </c>
    </row>
    <row r="13" spans="1:11" ht="12.75" customHeight="1" x14ac:dyDescent="0.25">
      <c r="A13" s="39">
        <v>0</v>
      </c>
      <c r="B13" s="28" t="s">
        <v>1</v>
      </c>
      <c r="D13" s="39">
        <v>8</v>
      </c>
      <c r="E13" s="2" t="s">
        <v>42</v>
      </c>
      <c r="G13" s="39">
        <v>10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2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10</v>
      </c>
      <c r="E15" s="2" t="s">
        <v>6</v>
      </c>
      <c r="G15" s="39">
        <v>10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5</v>
      </c>
      <c r="E16" s="2" t="s">
        <v>9</v>
      </c>
      <c r="G16" s="39">
        <v>0</v>
      </c>
      <c r="H16" s="2" t="s">
        <v>187</v>
      </c>
      <c r="J16" s="39">
        <v>6</v>
      </c>
      <c r="K16" s="2" t="s">
        <v>42</v>
      </c>
    </row>
    <row r="17" spans="1:11" ht="12.75" customHeight="1" x14ac:dyDescent="0.25">
      <c r="B17" s="2"/>
      <c r="D17" s="39">
        <v>8</v>
      </c>
      <c r="E17" s="16" t="s">
        <v>7</v>
      </c>
      <c r="F17" s="2"/>
      <c r="G17" s="39">
        <v>0</v>
      </c>
      <c r="H17" s="16" t="s">
        <v>189</v>
      </c>
      <c r="J17" s="39">
        <v>2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33</v>
      </c>
      <c r="E18" s="22" t="s">
        <v>35</v>
      </c>
      <c r="G18" s="39">
        <f>SUM(G12:G17)</f>
        <v>29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6</v>
      </c>
      <c r="K19" s="2" t="s">
        <v>47</v>
      </c>
    </row>
    <row r="20" spans="1:11" ht="12.75" customHeight="1" x14ac:dyDescent="0.25">
      <c r="E20" s="2"/>
      <c r="J20" s="39">
        <v>12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26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4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9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3</v>
      </c>
      <c r="E24" s="2" t="s">
        <v>2</v>
      </c>
      <c r="G24" s="17" t="s">
        <v>117</v>
      </c>
      <c r="H24" s="5"/>
      <c r="J24" s="39">
        <v>3</v>
      </c>
      <c r="K24" s="2" t="s">
        <v>55</v>
      </c>
    </row>
    <row r="25" spans="1:11" ht="12.75" customHeight="1" x14ac:dyDescent="0.25">
      <c r="A25" s="39">
        <v>1</v>
      </c>
      <c r="B25" s="2" t="s">
        <v>44</v>
      </c>
      <c r="D25" s="39">
        <v>0</v>
      </c>
      <c r="E25" s="2" t="s">
        <v>1</v>
      </c>
      <c r="G25" s="39">
        <v>0</v>
      </c>
      <c r="H25" s="2" t="s">
        <v>44</v>
      </c>
      <c r="J25" s="39">
        <v>0</v>
      </c>
      <c r="K25" s="2" t="s">
        <v>44</v>
      </c>
    </row>
    <row r="26" spans="1:11" ht="12.75" customHeight="1" x14ac:dyDescent="0.25">
      <c r="A26" s="39">
        <v>3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4</v>
      </c>
      <c r="B27" s="22" t="s">
        <v>35</v>
      </c>
      <c r="D27" s="39">
        <v>0</v>
      </c>
      <c r="E27" s="2" t="s">
        <v>187</v>
      </c>
      <c r="G27" s="39">
        <f>SUM(G25:G26)</f>
        <v>0</v>
      </c>
      <c r="H27" s="22" t="s">
        <v>35</v>
      </c>
      <c r="J27" s="39">
        <f>SUM(J24:J26)</f>
        <v>4</v>
      </c>
      <c r="K27" s="22" t="s">
        <v>35</v>
      </c>
    </row>
    <row r="28" spans="1:11" ht="12.75" customHeight="1" x14ac:dyDescent="0.25">
      <c r="D28" s="39">
        <v>0</v>
      </c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16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4</v>
      </c>
      <c r="B30" s="2" t="s">
        <v>55</v>
      </c>
      <c r="E30" s="2"/>
      <c r="G30" s="39">
        <v>0</v>
      </c>
      <c r="H30" s="28" t="s">
        <v>44</v>
      </c>
      <c r="J30" s="39">
        <v>2</v>
      </c>
      <c r="K30" s="2" t="s">
        <v>55</v>
      </c>
    </row>
    <row r="31" spans="1:11" ht="12.75" customHeight="1" thickBot="1" x14ac:dyDescent="0.3">
      <c r="A31" s="39">
        <v>9</v>
      </c>
      <c r="B31" s="16" t="s">
        <v>193</v>
      </c>
      <c r="D31" s="30" t="s">
        <v>113</v>
      </c>
      <c r="E31" s="5"/>
      <c r="J31" s="39">
        <v>1</v>
      </c>
      <c r="K31" s="2" t="s">
        <v>44</v>
      </c>
    </row>
    <row r="32" spans="1:11" ht="12.75" customHeight="1" thickBot="1" x14ac:dyDescent="0.3">
      <c r="A32" s="39">
        <f>SUM(A30:A31)</f>
        <v>13</v>
      </c>
      <c r="B32" s="22" t="s">
        <v>35</v>
      </c>
      <c r="D32" s="39">
        <v>0</v>
      </c>
      <c r="E32" s="2" t="s">
        <v>45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0</v>
      </c>
      <c r="E33" s="2" t="s">
        <v>125</v>
      </c>
      <c r="G33" s="39">
        <v>0</v>
      </c>
      <c r="H33" s="28" t="s">
        <v>1</v>
      </c>
      <c r="J33" s="39">
        <f>SUM(J30:J32)</f>
        <v>3</v>
      </c>
      <c r="K33" s="2" t="s">
        <v>35</v>
      </c>
    </row>
    <row r="34" spans="1:11" ht="12.75" customHeight="1" x14ac:dyDescent="0.25">
      <c r="D34" s="39">
        <v>0</v>
      </c>
      <c r="E34" s="16" t="s">
        <v>33</v>
      </c>
      <c r="H34" s="2"/>
    </row>
    <row r="35" spans="1:11" ht="12.75" customHeight="1" thickBot="1" x14ac:dyDescent="0.3">
      <c r="D35" s="39">
        <f>SUM(D32:D34)</f>
        <v>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1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0</v>
      </c>
      <c r="K37" s="16" t="s">
        <v>2</v>
      </c>
    </row>
    <row r="38" spans="1:11" ht="12.75" customHeight="1" x14ac:dyDescent="0.25">
      <c r="J38" s="39">
        <f>SUM(J36:J37)</f>
        <v>2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11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24</v>
      </c>
      <c r="K42" s="2" t="s">
        <v>9</v>
      </c>
    </row>
    <row r="43" spans="1:11" x14ac:dyDescent="0.25">
      <c r="A43" s="26">
        <f>D5+D13+G5+G13+J3+J16+J16</f>
        <v>46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0</v>
      </c>
      <c r="H43" s="2" t="s">
        <v>46</v>
      </c>
      <c r="J43" s="13">
        <f>D8+D17+J9+J20</f>
        <v>44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10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25</v>
      </c>
      <c r="K45" s="2" t="s">
        <v>55</v>
      </c>
    </row>
    <row r="46" spans="1:11" x14ac:dyDescent="0.25">
      <c r="A46" s="26">
        <f>D15+D26+G7+G15+J5+J18+J18</f>
        <v>38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18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4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18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2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150</v>
      </c>
      <c r="G60" s="26">
        <f>A45</f>
        <v>10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190</v>
      </c>
      <c r="G62" s="21">
        <f>A46</f>
        <v>38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topLeftCell="A16" zoomScale="70" zoomScaleNormal="100" zoomScalePageLayoutView="70" workbookViewId="0">
      <selection activeCell="B41" sqref="B40:B41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2" t="s">
        <v>138</v>
      </c>
      <c r="B1" s="92"/>
      <c r="C1" s="91">
        <f>DATE(2024,1,1)+(Mon!B2-1)*7+3</f>
        <v>45428</v>
      </c>
      <c r="D1" s="91"/>
      <c r="E1" s="91"/>
      <c r="F1" s="1"/>
      <c r="G1" s="63" t="s">
        <v>175</v>
      </c>
      <c r="H1" s="65">
        <f>Mon!C1+49-1</f>
        <v>45473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>
        <v>2</v>
      </c>
      <c r="B4" s="2" t="s">
        <v>41</v>
      </c>
      <c r="D4" s="39">
        <v>0</v>
      </c>
      <c r="E4" s="2" t="s">
        <v>3</v>
      </c>
      <c r="G4" s="39">
        <v>2</v>
      </c>
      <c r="H4" s="2" t="s">
        <v>45</v>
      </c>
      <c r="J4" s="44">
        <v>0</v>
      </c>
      <c r="K4" s="2" t="s">
        <v>19</v>
      </c>
    </row>
    <row r="5" spans="1:11" x14ac:dyDescent="0.25">
      <c r="A5" s="39">
        <v>0</v>
      </c>
      <c r="B5" s="2" t="s">
        <v>42</v>
      </c>
      <c r="D5" s="39">
        <v>2</v>
      </c>
      <c r="E5" s="2" t="s">
        <v>40</v>
      </c>
      <c r="G5" s="39">
        <v>0</v>
      </c>
      <c r="H5" s="2" t="s">
        <v>46</v>
      </c>
      <c r="J5" s="39">
        <v>4</v>
      </c>
      <c r="K5" s="2" t="s">
        <v>20</v>
      </c>
    </row>
    <row r="6" spans="1:1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2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0</v>
      </c>
      <c r="B7" s="2" t="s">
        <v>5</v>
      </c>
      <c r="D7" s="39">
        <v>0</v>
      </c>
      <c r="E7" s="2" t="s">
        <v>5</v>
      </c>
      <c r="G7" s="39">
        <v>4</v>
      </c>
      <c r="H7" s="2" t="s">
        <v>135</v>
      </c>
      <c r="J7" s="39">
        <v>0</v>
      </c>
      <c r="K7" s="2" t="s">
        <v>21</v>
      </c>
    </row>
    <row r="8" spans="1:11" x14ac:dyDescent="0.25">
      <c r="A8" s="39">
        <v>15</v>
      </c>
      <c r="B8" s="2" t="s">
        <v>6</v>
      </c>
      <c r="D8" s="39">
        <v>4</v>
      </c>
      <c r="E8" s="2" t="s">
        <v>9</v>
      </c>
      <c r="G8" s="39">
        <v>10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6</v>
      </c>
      <c r="B9" s="2" t="s">
        <v>9</v>
      </c>
      <c r="D9" s="39">
        <v>6</v>
      </c>
      <c r="E9" s="2" t="s">
        <v>7</v>
      </c>
      <c r="G9" s="39">
        <v>5</v>
      </c>
      <c r="H9" s="16" t="s">
        <v>47</v>
      </c>
      <c r="J9" s="39">
        <v>6</v>
      </c>
      <c r="K9" s="2" t="s">
        <v>22</v>
      </c>
    </row>
    <row r="10" spans="1:11" x14ac:dyDescent="0.25">
      <c r="A10" s="39">
        <v>0</v>
      </c>
      <c r="B10" s="2" t="s">
        <v>7</v>
      </c>
      <c r="D10" s="39">
        <v>0</v>
      </c>
      <c r="E10" s="16" t="s">
        <v>8</v>
      </c>
      <c r="G10" s="39">
        <f>SUM(G4:G9)</f>
        <v>23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12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4868082661</v>
      </c>
      <c r="J12" s="39">
        <v>0</v>
      </c>
      <c r="K12" s="2" t="s">
        <v>26</v>
      </c>
    </row>
    <row r="13" spans="1:11" x14ac:dyDescent="0.25">
      <c r="A13" s="39">
        <v>2</v>
      </c>
      <c r="B13" s="2" t="s">
        <v>15</v>
      </c>
      <c r="J13" s="39">
        <v>10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177</v>
      </c>
      <c r="H14" s="17"/>
      <c r="J14" s="39">
        <f>SUM(J4:J13)</f>
        <v>20</v>
      </c>
      <c r="K14" s="22" t="s">
        <v>35</v>
      </c>
    </row>
    <row r="15" spans="1:11" x14ac:dyDescent="0.25">
      <c r="A15" s="39">
        <v>0</v>
      </c>
      <c r="B15" s="2" t="s">
        <v>16</v>
      </c>
      <c r="F15" s="3"/>
      <c r="G15" s="39">
        <v>20</v>
      </c>
      <c r="H15" s="2" t="s">
        <v>29</v>
      </c>
      <c r="K15" s="2"/>
    </row>
    <row r="16" spans="1:11" x14ac:dyDescent="0.25">
      <c r="A16" s="39">
        <v>1</v>
      </c>
      <c r="B16" s="2" t="s">
        <v>188</v>
      </c>
      <c r="G16" s="39">
        <v>1</v>
      </c>
      <c r="H16" s="2" t="s">
        <v>30</v>
      </c>
      <c r="J16" s="2" t="s">
        <v>36</v>
      </c>
      <c r="K16" s="16">
        <v>8481</v>
      </c>
    </row>
    <row r="17" spans="1:9" x14ac:dyDescent="0.25">
      <c r="A17" s="39">
        <v>0</v>
      </c>
      <c r="B17" s="2" t="s">
        <v>187</v>
      </c>
      <c r="G17" s="39">
        <v>1</v>
      </c>
      <c r="H17" s="16" t="s">
        <v>189</v>
      </c>
    </row>
    <row r="18" spans="1:9" x14ac:dyDescent="0.25">
      <c r="A18" s="39">
        <v>0</v>
      </c>
      <c r="B18" s="2" t="s">
        <v>189</v>
      </c>
      <c r="G18" s="39">
        <f>SUM(G15:G17)</f>
        <v>22</v>
      </c>
      <c r="H18" s="22" t="s">
        <v>35</v>
      </c>
      <c r="I18" s="4"/>
    </row>
    <row r="19" spans="1:9" x14ac:dyDescent="0.25">
      <c r="A19" s="39">
        <v>1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28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>
        <v>2</v>
      </c>
      <c r="B25" t="s">
        <v>1</v>
      </c>
      <c r="D25" s="39">
        <v>0</v>
      </c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>
        <v>15</v>
      </c>
      <c r="B28" s="2" t="s">
        <v>55</v>
      </c>
      <c r="D28" s="39">
        <v>0</v>
      </c>
      <c r="E28" t="s">
        <v>1</v>
      </c>
    </row>
    <row r="35" spans="1:11" ht="21.75" thickBot="1" x14ac:dyDescent="0.4">
      <c r="A35" s="92" t="s">
        <v>138</v>
      </c>
      <c r="B35" s="92"/>
      <c r="C35" s="91">
        <f>C1</f>
        <v>45428</v>
      </c>
      <c r="D35" s="91"/>
      <c r="E35" s="91"/>
      <c r="G35" s="63" t="s">
        <v>175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>
        <v>0</v>
      </c>
      <c r="B38" s="2" t="s">
        <v>41</v>
      </c>
      <c r="D38" s="39">
        <v>0</v>
      </c>
      <c r="E38" s="2" t="s">
        <v>32</v>
      </c>
      <c r="G38" s="39">
        <v>1</v>
      </c>
      <c r="H38" s="2" t="s">
        <v>19</v>
      </c>
      <c r="J38" s="39">
        <v>3</v>
      </c>
      <c r="K38" s="2" t="s">
        <v>19</v>
      </c>
    </row>
    <row r="39" spans="1:11" x14ac:dyDescent="0.25">
      <c r="A39" s="39">
        <v>4</v>
      </c>
      <c r="B39" s="2" t="s">
        <v>42</v>
      </c>
      <c r="D39" s="39">
        <v>24</v>
      </c>
      <c r="E39" s="2" t="s">
        <v>31</v>
      </c>
      <c r="G39" s="39">
        <v>24</v>
      </c>
      <c r="H39" s="2" t="s">
        <v>20</v>
      </c>
      <c r="J39" s="39">
        <v>10</v>
      </c>
      <c r="K39" s="2" t="s">
        <v>20</v>
      </c>
    </row>
    <row r="40" spans="1:11" x14ac:dyDescent="0.25">
      <c r="A40" s="39">
        <v>0</v>
      </c>
      <c r="B40" s="2" t="s">
        <v>4</v>
      </c>
      <c r="D40" s="39">
        <v>0</v>
      </c>
      <c r="E40" s="2" t="s">
        <v>33</v>
      </c>
      <c r="G40" s="39">
        <v>1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1</v>
      </c>
      <c r="B41" s="2" t="s">
        <v>5</v>
      </c>
      <c r="D41" s="39">
        <v>25</v>
      </c>
      <c r="E41" s="2" t="s">
        <v>135</v>
      </c>
      <c r="G41" s="39">
        <v>1</v>
      </c>
      <c r="H41" s="2" t="s">
        <v>21</v>
      </c>
      <c r="J41" s="39">
        <v>1</v>
      </c>
      <c r="K41" s="2" t="s">
        <v>21</v>
      </c>
    </row>
    <row r="42" spans="1:11" x14ac:dyDescent="0.25">
      <c r="A42" s="39">
        <v>6</v>
      </c>
      <c r="B42" s="2" t="s">
        <v>6</v>
      </c>
      <c r="D42" s="39">
        <v>24</v>
      </c>
      <c r="E42" s="2" t="s">
        <v>34</v>
      </c>
      <c r="G42" s="39">
        <v>1</v>
      </c>
      <c r="H42" s="2" t="s">
        <v>23</v>
      </c>
      <c r="J42" s="39">
        <v>1</v>
      </c>
      <c r="K42" s="2" t="s">
        <v>23</v>
      </c>
    </row>
    <row r="43" spans="1:11" x14ac:dyDescent="0.25">
      <c r="A43" s="39">
        <v>3</v>
      </c>
      <c r="B43" s="2" t="s">
        <v>9</v>
      </c>
      <c r="D43" s="39">
        <v>0</v>
      </c>
      <c r="E43" s="16" t="s">
        <v>9</v>
      </c>
      <c r="G43" s="39">
        <v>36</v>
      </c>
      <c r="H43" s="2" t="s">
        <v>22</v>
      </c>
      <c r="J43" s="39">
        <v>10</v>
      </c>
      <c r="K43" s="2" t="s">
        <v>22</v>
      </c>
    </row>
    <row r="44" spans="1:11" x14ac:dyDescent="0.25">
      <c r="A44" s="39">
        <v>0</v>
      </c>
      <c r="B44" s="2" t="s">
        <v>7</v>
      </c>
      <c r="D44" s="39">
        <f>SUM(D38:D43)</f>
        <v>73</v>
      </c>
      <c r="E44" s="2" t="s">
        <v>35</v>
      </c>
      <c r="G44" s="39">
        <v>1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2</v>
      </c>
      <c r="B46" s="2" t="s">
        <v>44</v>
      </c>
      <c r="D46" s="2" t="s">
        <v>36</v>
      </c>
      <c r="E46" s="16">
        <v>4868058571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1</v>
      </c>
      <c r="B47" s="2" t="s">
        <v>15</v>
      </c>
      <c r="G47" s="39">
        <v>24</v>
      </c>
      <c r="H47" s="16" t="s">
        <v>28</v>
      </c>
      <c r="J47" s="39">
        <v>60</v>
      </c>
      <c r="K47" s="16" t="s">
        <v>28</v>
      </c>
    </row>
    <row r="48" spans="1:11" x14ac:dyDescent="0.25">
      <c r="A48" s="39">
        <v>0</v>
      </c>
      <c r="B48" s="2" t="s">
        <v>14</v>
      </c>
      <c r="G48" s="39">
        <f>SUM(G38:G47)</f>
        <v>89</v>
      </c>
      <c r="H48" s="2" t="s">
        <v>35</v>
      </c>
      <c r="J48" s="39">
        <f>SUM(J38:J47)</f>
        <v>86</v>
      </c>
      <c r="K48" s="2" t="s">
        <v>35</v>
      </c>
    </row>
    <row r="49" spans="1:11" ht="15.75" thickBot="1" x14ac:dyDescent="0.3">
      <c r="A49" s="39">
        <v>0</v>
      </c>
      <c r="B49" s="2" t="s">
        <v>16</v>
      </c>
      <c r="D49" s="17" t="s">
        <v>185</v>
      </c>
      <c r="E49" s="17"/>
      <c r="K49" s="2"/>
    </row>
    <row r="50" spans="1:11" x14ac:dyDescent="0.25">
      <c r="A50" s="39">
        <v>1</v>
      </c>
      <c r="B50" s="2" t="s">
        <v>17</v>
      </c>
      <c r="D50" s="39">
        <v>48</v>
      </c>
      <c r="E50" s="2" t="s">
        <v>29</v>
      </c>
      <c r="G50" s="2" t="s">
        <v>36</v>
      </c>
      <c r="H50" s="16">
        <v>1807</v>
      </c>
      <c r="J50" s="2" t="s">
        <v>36</v>
      </c>
      <c r="K50" s="16">
        <v>7448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0</v>
      </c>
      <c r="B53" s="2" t="s">
        <v>13</v>
      </c>
      <c r="D53" s="39">
        <f>SUM(D50:D52)</f>
        <v>48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182</v>
      </c>
      <c r="K54" s="5"/>
    </row>
    <row r="55" spans="1:11" x14ac:dyDescent="0.25">
      <c r="A55" s="39">
        <f>SUM(A38:A54)</f>
        <v>18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H56" s="2"/>
    </row>
    <row r="57" spans="1:11" x14ac:dyDescent="0.25">
      <c r="B57" s="4"/>
      <c r="D57" s="39">
        <v>24</v>
      </c>
      <c r="E57" s="2" t="s">
        <v>29</v>
      </c>
      <c r="H57" s="2"/>
    </row>
    <row r="58" spans="1:11" x14ac:dyDescent="0.25">
      <c r="A58" s="4"/>
      <c r="B58" s="4"/>
      <c r="C58" s="4"/>
      <c r="D58" s="39">
        <v>0</v>
      </c>
      <c r="E58" s="2" t="s">
        <v>30</v>
      </c>
      <c r="I58" s="6"/>
    </row>
    <row r="59" spans="1:11" x14ac:dyDescent="0.25">
      <c r="A59" s="4"/>
      <c r="B59" s="4"/>
      <c r="C59" s="4"/>
      <c r="D59" s="39">
        <v>0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24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2</v>
      </c>
      <c r="B72" s="2" t="s">
        <v>41</v>
      </c>
      <c r="C72" s="35">
        <f>D72*15</f>
        <v>60</v>
      </c>
      <c r="D72" s="36">
        <f t="shared" ref="D72:D81" si="0">J4+G38+J38</f>
        <v>4</v>
      </c>
      <c r="E72" s="2" t="s">
        <v>19</v>
      </c>
      <c r="G72" s="13">
        <f>G4+D38</f>
        <v>2</v>
      </c>
      <c r="H72" s="2" t="s">
        <v>45</v>
      </c>
      <c r="J72" s="13">
        <f>A9+D8+G9+A43+D43</f>
        <v>18</v>
      </c>
      <c r="K72" s="2" t="s">
        <v>9</v>
      </c>
    </row>
    <row r="73" spans="1:11" x14ac:dyDescent="0.25">
      <c r="A73" s="26">
        <f>A5+D5+A39</f>
        <v>6</v>
      </c>
      <c r="B73" s="2" t="s">
        <v>42</v>
      </c>
      <c r="C73" s="35">
        <f t="shared" ref="C73:C79" si="1">D73*15</f>
        <v>570</v>
      </c>
      <c r="D73" s="37">
        <f t="shared" si="0"/>
        <v>38</v>
      </c>
      <c r="E73" s="2" t="s">
        <v>20</v>
      </c>
      <c r="G73" s="47">
        <f>G5+G15+D50+D39+D57</f>
        <v>116</v>
      </c>
      <c r="H73" s="2" t="s">
        <v>46</v>
      </c>
      <c r="J73" s="13">
        <f>A10+D9+G8+A44+D42</f>
        <v>40</v>
      </c>
      <c r="K73" s="2" t="s">
        <v>7</v>
      </c>
    </row>
    <row r="74" spans="1:11" x14ac:dyDescent="0.25">
      <c r="A74" s="26">
        <f>A6+D6+A40</f>
        <v>1</v>
      </c>
      <c r="B74" s="2" t="s">
        <v>4</v>
      </c>
      <c r="C74" s="35">
        <f t="shared" si="1"/>
        <v>15</v>
      </c>
      <c r="D74" s="37">
        <f t="shared" si="0"/>
        <v>1</v>
      </c>
      <c r="E74" s="2" t="s">
        <v>27</v>
      </c>
      <c r="G74" s="13">
        <f>G6+G16+D51+D40+D58</f>
        <v>3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1</v>
      </c>
      <c r="B75" s="2" t="s">
        <v>5</v>
      </c>
      <c r="C75" s="35">
        <f t="shared" si="1"/>
        <v>30</v>
      </c>
      <c r="D75" s="37">
        <f t="shared" si="0"/>
        <v>2</v>
      </c>
      <c r="E75" s="2" t="s">
        <v>21</v>
      </c>
      <c r="G75" s="14">
        <f>G7+D41</f>
        <v>29</v>
      </c>
      <c r="H75" s="2" t="s">
        <v>134</v>
      </c>
      <c r="J75" s="47">
        <f>A28</f>
        <v>15</v>
      </c>
      <c r="K75" s="2" t="s">
        <v>55</v>
      </c>
    </row>
    <row r="76" spans="1:11" x14ac:dyDescent="0.25">
      <c r="A76" s="26">
        <f>A8+A42</f>
        <v>21</v>
      </c>
      <c r="B76" s="2" t="s">
        <v>6</v>
      </c>
      <c r="C76" s="35">
        <f>D76*12</f>
        <v>24</v>
      </c>
      <c r="D76" s="37">
        <f t="shared" si="0"/>
        <v>2</v>
      </c>
      <c r="E76" s="2" t="s">
        <v>23</v>
      </c>
      <c r="J76" s="13">
        <f>A12+A46</f>
        <v>2</v>
      </c>
      <c r="K76" s="2" t="s">
        <v>44</v>
      </c>
    </row>
    <row r="77" spans="1:11" x14ac:dyDescent="0.25">
      <c r="A77" s="26">
        <f>A13+A47</f>
        <v>3</v>
      </c>
      <c r="B77" s="2" t="s">
        <v>15</v>
      </c>
      <c r="C77" s="35">
        <f>D77*10</f>
        <v>520</v>
      </c>
      <c r="D77" s="37">
        <f t="shared" si="0"/>
        <v>52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30</v>
      </c>
      <c r="D78" s="37">
        <f t="shared" si="0"/>
        <v>2</v>
      </c>
      <c r="E78" s="2" t="s">
        <v>24</v>
      </c>
      <c r="J78" s="14">
        <f>J55+A25+D25+D28</f>
        <v>3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26</v>
      </c>
    </row>
    <row r="81" spans="1:11" x14ac:dyDescent="0.25">
      <c r="C81" s="35">
        <f>D81*8</f>
        <v>752</v>
      </c>
      <c r="D81" s="37">
        <f t="shared" si="0"/>
        <v>94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0</v>
      </c>
      <c r="B87" s="2" t="s">
        <v>14</v>
      </c>
      <c r="F87" s="35">
        <f>G87*15</f>
        <v>15</v>
      </c>
      <c r="G87" s="26">
        <f>A74</f>
        <v>1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45</v>
      </c>
      <c r="G88" s="21">
        <f>A77</f>
        <v>3</v>
      </c>
      <c r="H88" s="2" t="s">
        <v>15</v>
      </c>
      <c r="J88" s="14">
        <f>IF(MOD((A5),24)=0,(A5)/24,0)+IF(MOD((A39),24)=0,(A39)/24,0)</f>
        <v>0</v>
      </c>
      <c r="K88" t="s">
        <v>42</v>
      </c>
    </row>
    <row r="89" spans="1:11" x14ac:dyDescent="0.25">
      <c r="A89" s="13">
        <f>A16+A50</f>
        <v>2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0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15</v>
      </c>
      <c r="G90" s="26">
        <f>A75</f>
        <v>1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1</v>
      </c>
      <c r="B91" s="2" t="s">
        <v>12</v>
      </c>
      <c r="F91" s="35">
        <f>G91*15</f>
        <v>45</v>
      </c>
      <c r="G91" s="21">
        <f>G74</f>
        <v>3</v>
      </c>
      <c r="H91" s="2" t="s">
        <v>30</v>
      </c>
      <c r="J91" s="14">
        <f>IF(MOD((G5),24)=0,(G5)/24,0)+IF(MOD((D39),24)=0,(D39)/24,0)</f>
        <v>1</v>
      </c>
      <c r="K91" s="2" t="s">
        <v>46</v>
      </c>
    </row>
    <row r="92" spans="1:11" x14ac:dyDescent="0.25">
      <c r="A92" s="13">
        <f>A19+A53</f>
        <v>1</v>
      </c>
      <c r="B92" s="2" t="s">
        <v>13</v>
      </c>
      <c r="F92" s="35">
        <f>G92*5</f>
        <v>105</v>
      </c>
      <c r="G92" s="21">
        <f>A76</f>
        <v>21</v>
      </c>
      <c r="H92" s="2" t="s">
        <v>54</v>
      </c>
      <c r="J92" s="14">
        <f>IF(MOD((G7),13)=0,(G7)/13,0)+IF(MOD((D41),13)=0,(D41)/13,0)</f>
        <v>0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232</v>
      </c>
      <c r="G93" s="21">
        <f>G75</f>
        <v>29</v>
      </c>
      <c r="H93" s="2" t="s">
        <v>135</v>
      </c>
      <c r="J93" s="14">
        <f>IF(MOD((A10),24)=0,(A10)/24,0)+IF(MOD((G8),24)=0,(G8)/24,0)+IF(MOD((A44),24)=0,(A44)/24,0)+IF(MOD((D42),24)=0,(D42)/24,0)</f>
        <v>1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L17" sqref="L17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2" t="s">
        <v>138</v>
      </c>
      <c r="B1" s="92"/>
      <c r="C1" s="91">
        <f>DATE(2024,1,1)+(Mon!B2-1)*7+4</f>
        <v>45429</v>
      </c>
      <c r="D1" s="91"/>
      <c r="E1" s="91"/>
      <c r="G1" s="63" t="s">
        <v>175</v>
      </c>
      <c r="H1" s="64">
        <f>Mon!C1+49-1</f>
        <v>45473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>
        <v>2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>
        <v>4</v>
      </c>
      <c r="B5" s="2" t="s">
        <v>42</v>
      </c>
      <c r="D5" s="39">
        <v>0</v>
      </c>
      <c r="E5" s="2" t="s">
        <v>42</v>
      </c>
      <c r="G5" s="39">
        <v>4</v>
      </c>
      <c r="H5" s="2" t="s">
        <v>42</v>
      </c>
      <c r="J5" s="39">
        <v>0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>
        <v>3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20</v>
      </c>
      <c r="H8" s="2" t="s">
        <v>6</v>
      </c>
      <c r="J8" s="39">
        <v>0</v>
      </c>
      <c r="K8" s="2" t="s">
        <v>6</v>
      </c>
      <c r="M8" s="39">
        <v>0</v>
      </c>
      <c r="N8" s="2" t="s">
        <v>6</v>
      </c>
    </row>
    <row r="9" spans="1:14" ht="12.75" customHeight="1" x14ac:dyDescent="0.25">
      <c r="A9" s="39">
        <v>8</v>
      </c>
      <c r="B9" s="2" t="s">
        <v>9</v>
      </c>
      <c r="D9" s="39">
        <v>0</v>
      </c>
      <c r="E9" s="2" t="s">
        <v>9</v>
      </c>
      <c r="G9" s="39">
        <v>2</v>
      </c>
      <c r="H9" s="2" t="s">
        <v>9</v>
      </c>
      <c r="J9" s="39">
        <v>0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8</v>
      </c>
      <c r="B10" s="2" t="s">
        <v>7</v>
      </c>
      <c r="D10" s="39">
        <v>0</v>
      </c>
      <c r="E10" s="2" t="s">
        <v>7</v>
      </c>
      <c r="G10" s="39">
        <v>3</v>
      </c>
      <c r="H10" s="2" t="s">
        <v>7</v>
      </c>
      <c r="J10" s="39">
        <v>0</v>
      </c>
      <c r="K10" s="2" t="s">
        <v>7</v>
      </c>
      <c r="M10" s="39">
        <v>0</v>
      </c>
      <c r="N10" s="2" t="s">
        <v>7</v>
      </c>
    </row>
    <row r="11" spans="1:14" ht="12.75" customHeight="1" x14ac:dyDescent="0.25">
      <c r="A11" s="39">
        <v>4</v>
      </c>
      <c r="B11" s="2" t="s">
        <v>8</v>
      </c>
      <c r="D11" s="39">
        <v>0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>
        <v>4</v>
      </c>
      <c r="B12" s="2" t="s">
        <v>44</v>
      </c>
      <c r="D12" s="39">
        <v>0</v>
      </c>
      <c r="E12" s="2" t="s">
        <v>44</v>
      </c>
      <c r="G12" s="39">
        <v>1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12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0</v>
      </c>
      <c r="K13" s="40" t="s">
        <v>35</v>
      </c>
      <c r="M13" s="39">
        <f>SUM(M4:M12)</f>
        <v>0</v>
      </c>
      <c r="N13" s="22" t="s">
        <v>35</v>
      </c>
    </row>
    <row r="14" spans="1:14" ht="12.75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0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70" t="s">
        <v>61</v>
      </c>
      <c r="K16" s="74"/>
    </row>
    <row r="17" spans="1:14" ht="12.75" customHeight="1" x14ac:dyDescent="0.25">
      <c r="A17" s="39">
        <v>0</v>
      </c>
      <c r="B17" s="2" t="s">
        <v>187</v>
      </c>
      <c r="D17" s="39">
        <v>0</v>
      </c>
      <c r="E17" s="2" t="s">
        <v>187</v>
      </c>
      <c r="G17" s="39">
        <v>1</v>
      </c>
      <c r="H17" s="2" t="s">
        <v>187</v>
      </c>
      <c r="J17" s="75">
        <v>5</v>
      </c>
      <c r="K17" s="76" t="s">
        <v>44</v>
      </c>
    </row>
    <row r="18" spans="1:14" ht="12.75" customHeight="1" x14ac:dyDescent="0.25">
      <c r="A18" s="39">
        <v>1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7"/>
      <c r="K18" s="76"/>
    </row>
    <row r="19" spans="1:14" ht="12.75" customHeight="1" thickBot="1" x14ac:dyDescent="0.3">
      <c r="A19" s="39">
        <v>2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8" t="s">
        <v>62</v>
      </c>
      <c r="K19" s="79"/>
    </row>
    <row r="20" spans="1:14" ht="12.75" customHeight="1" x14ac:dyDescent="0.25">
      <c r="A20" s="39">
        <v>1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5">
        <v>12</v>
      </c>
      <c r="K20" s="76" t="s">
        <v>44</v>
      </c>
    </row>
    <row r="21" spans="1:14" ht="12.75" customHeight="1" x14ac:dyDescent="0.25">
      <c r="A21" s="39">
        <f>SUM(A4:A20)</f>
        <v>91</v>
      </c>
      <c r="B21" s="22" t="s">
        <v>35</v>
      </c>
      <c r="D21" s="39">
        <f>SUM(D4:D20)</f>
        <v>20</v>
      </c>
      <c r="E21" s="22" t="s">
        <v>35</v>
      </c>
      <c r="G21" s="39">
        <f>SUM(G4:G20)</f>
        <v>32</v>
      </c>
      <c r="H21" s="22" t="s">
        <v>35</v>
      </c>
      <c r="J21" s="77"/>
      <c r="K21" s="76"/>
    </row>
    <row r="22" spans="1:14" ht="12.75" customHeight="1" thickBot="1" x14ac:dyDescent="0.3">
      <c r="J22" s="78" t="s">
        <v>63</v>
      </c>
      <c r="K22" s="79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5">
        <v>4</v>
      </c>
      <c r="K23" s="76" t="s">
        <v>44</v>
      </c>
    </row>
    <row r="24" spans="1:14" ht="12.75" customHeight="1" x14ac:dyDescent="0.25">
      <c r="A24" s="39">
        <v>1</v>
      </c>
      <c r="B24" s="2" t="s">
        <v>45</v>
      </c>
      <c r="D24" s="39">
        <v>2</v>
      </c>
      <c r="E24" s="2" t="s">
        <v>45</v>
      </c>
      <c r="G24" s="39">
        <v>7</v>
      </c>
      <c r="H24" s="2" t="s">
        <v>29</v>
      </c>
      <c r="J24" s="77"/>
      <c r="K24" s="76"/>
    </row>
    <row r="25" spans="1:14" ht="12.75" customHeight="1" thickBot="1" x14ac:dyDescent="0.3">
      <c r="A25" s="39">
        <v>24</v>
      </c>
      <c r="B25" s="2" t="s">
        <v>46</v>
      </c>
      <c r="D25" s="39">
        <v>0</v>
      </c>
      <c r="E25" s="2" t="s">
        <v>46</v>
      </c>
      <c r="G25" s="39">
        <v>0</v>
      </c>
      <c r="H25" s="2" t="s">
        <v>30</v>
      </c>
      <c r="J25" s="78" t="s">
        <v>68</v>
      </c>
      <c r="K25" s="85"/>
    </row>
    <row r="26" spans="1:14" ht="12.75" customHeight="1" x14ac:dyDescent="0.25">
      <c r="A26" s="39">
        <v>1</v>
      </c>
      <c r="B26" s="2" t="s">
        <v>30</v>
      </c>
      <c r="D26" s="39">
        <v>1</v>
      </c>
      <c r="E26" s="2" t="s">
        <v>30</v>
      </c>
      <c r="G26" s="39">
        <v>0</v>
      </c>
      <c r="H26" s="16" t="s">
        <v>189</v>
      </c>
      <c r="J26" s="75">
        <v>12</v>
      </c>
      <c r="K26" s="86" t="s">
        <v>44</v>
      </c>
    </row>
    <row r="27" spans="1:14" ht="12.75" customHeight="1" x14ac:dyDescent="0.25">
      <c r="A27" s="39">
        <v>0</v>
      </c>
      <c r="B27" s="2" t="s">
        <v>135</v>
      </c>
      <c r="D27" s="39">
        <v>0</v>
      </c>
      <c r="E27" s="2" t="s">
        <v>135</v>
      </c>
      <c r="G27" s="39">
        <f>SUM(G24:G26)</f>
        <v>7</v>
      </c>
      <c r="H27" s="22" t="s">
        <v>35</v>
      </c>
      <c r="J27" s="77"/>
      <c r="K27" s="76"/>
    </row>
    <row r="28" spans="1:14" ht="12.75" customHeight="1" thickBot="1" x14ac:dyDescent="0.3">
      <c r="A28" s="39">
        <v>24</v>
      </c>
      <c r="B28" s="2" t="s">
        <v>7</v>
      </c>
      <c r="D28" s="39">
        <v>16</v>
      </c>
      <c r="E28" s="2" t="s">
        <v>7</v>
      </c>
      <c r="J28" s="78" t="s">
        <v>191</v>
      </c>
      <c r="K28" s="79"/>
    </row>
    <row r="29" spans="1:14" ht="12.75" customHeight="1" x14ac:dyDescent="0.25">
      <c r="A29" s="39">
        <v>2</v>
      </c>
      <c r="B29" s="16" t="s">
        <v>47</v>
      </c>
      <c r="D29" s="39">
        <v>8</v>
      </c>
      <c r="E29" s="16" t="s">
        <v>47</v>
      </c>
      <c r="H29" s="3"/>
      <c r="J29" s="75">
        <v>12</v>
      </c>
      <c r="K29" s="86" t="s">
        <v>44</v>
      </c>
    </row>
    <row r="30" spans="1:14" ht="12.75" customHeight="1" x14ac:dyDescent="0.25">
      <c r="A30" s="39">
        <f>SUM(A24:A29)</f>
        <v>52</v>
      </c>
      <c r="B30" s="22" t="s">
        <v>35</v>
      </c>
      <c r="D30" s="39">
        <f>SUM(D24:D29)</f>
        <v>27</v>
      </c>
      <c r="E30" s="22" t="s">
        <v>35</v>
      </c>
      <c r="J30" s="77"/>
      <c r="K30" s="76"/>
    </row>
    <row r="31" spans="1:14" ht="12.75" customHeight="1" thickBot="1" x14ac:dyDescent="0.3">
      <c r="J31" s="87" t="s">
        <v>186</v>
      </c>
      <c r="K31" s="80"/>
    </row>
    <row r="32" spans="1:14" ht="12.75" customHeight="1" x14ac:dyDescent="0.25">
      <c r="A32" s="2" t="s">
        <v>36</v>
      </c>
      <c r="B32" s="16">
        <v>4868084110</v>
      </c>
      <c r="D32" s="2" t="s">
        <v>36</v>
      </c>
      <c r="E32" s="13">
        <v>4868086281</v>
      </c>
      <c r="J32" s="88">
        <f>J17+J20+J23+J26+J29</f>
        <v>45</v>
      </c>
      <c r="K32" s="89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4</v>
      </c>
      <c r="B35" s="2" t="s">
        <v>52</v>
      </c>
      <c r="D35" s="21">
        <v>6</v>
      </c>
      <c r="E35" t="s">
        <v>1</v>
      </c>
      <c r="G35" s="39">
        <v>5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1</v>
      </c>
      <c r="B36" s="2" t="s">
        <v>2</v>
      </c>
      <c r="G36" s="39">
        <v>2</v>
      </c>
      <c r="H36" s="16" t="s">
        <v>1</v>
      </c>
    </row>
    <row r="37" spans="1:14" ht="12.75" customHeight="1" thickBot="1" x14ac:dyDescent="0.3">
      <c r="A37" s="39">
        <v>7</v>
      </c>
      <c r="B37" s="16" t="s">
        <v>7</v>
      </c>
      <c r="C37" s="23"/>
      <c r="D37" s="17" t="s">
        <v>59</v>
      </c>
      <c r="E37" s="5"/>
      <c r="G37" s="39">
        <f>SUM(G35:G36)</f>
        <v>7</v>
      </c>
      <c r="H37" s="22" t="s">
        <v>35</v>
      </c>
    </row>
    <row r="38" spans="1:14" ht="12.75" customHeight="1" x14ac:dyDescent="0.25">
      <c r="A38" s="39">
        <f>SUM(A35:A37)</f>
        <v>12</v>
      </c>
      <c r="B38" s="22" t="s">
        <v>35</v>
      </c>
      <c r="D38" s="21">
        <v>12</v>
      </c>
      <c r="E38" t="s">
        <v>44</v>
      </c>
    </row>
    <row r="39" spans="1:14" ht="12.75" customHeight="1" x14ac:dyDescent="0.25">
      <c r="D39" s="29">
        <v>6</v>
      </c>
      <c r="E39" s="16" t="s">
        <v>54</v>
      </c>
    </row>
    <row r="40" spans="1:14" ht="21" x14ac:dyDescent="0.35">
      <c r="A40" s="19" t="s">
        <v>84</v>
      </c>
      <c r="F40" s="11">
        <f>SUM(D38:D39)</f>
        <v>18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3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3</v>
      </c>
      <c r="H43" s="2" t="s">
        <v>45</v>
      </c>
      <c r="J43" s="13">
        <f>A9+D9+A29+J9+D29+G9+M9</f>
        <v>20</v>
      </c>
      <c r="K43" s="2" t="s">
        <v>9</v>
      </c>
    </row>
    <row r="44" spans="1:14" x14ac:dyDescent="0.25">
      <c r="A44" s="26">
        <f>A5+D5+J5+G5+M5</f>
        <v>8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31</v>
      </c>
      <c r="H44" s="2" t="s">
        <v>46</v>
      </c>
      <c r="J44" s="13">
        <f>A37+A10+A28+D10+J10+G10+M10+D28</f>
        <v>58</v>
      </c>
      <c r="K44" s="2" t="s">
        <v>7</v>
      </c>
    </row>
    <row r="45" spans="1:14" x14ac:dyDescent="0.25">
      <c r="A45" s="26">
        <f>A6+D6+J6+G6+M6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2</v>
      </c>
      <c r="H45" s="2" t="s">
        <v>30</v>
      </c>
      <c r="J45" s="13">
        <f>A11+D11+J11+G11+M11</f>
        <v>4</v>
      </c>
      <c r="K45" s="2" t="s">
        <v>8</v>
      </c>
    </row>
    <row r="46" spans="1:14" x14ac:dyDescent="0.25">
      <c r="A46" s="26">
        <f>A7+D7+J7+G7+M7</f>
        <v>3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0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86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59</v>
      </c>
      <c r="K47" s="2" t="s">
        <v>44</v>
      </c>
    </row>
    <row r="48" spans="1:14" x14ac:dyDescent="0.25">
      <c r="A48" s="26">
        <f>A13+D13+G13</f>
        <v>12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1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8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0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0</v>
      </c>
      <c r="B59" s="2" t="s">
        <v>16</v>
      </c>
      <c r="F59" s="35">
        <f t="shared" ref="F59:F61" si="1">G59*15</f>
        <v>180</v>
      </c>
      <c r="G59" s="21">
        <f>A48</f>
        <v>12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40</v>
      </c>
      <c r="G60" s="29">
        <f>J45</f>
        <v>4</v>
      </c>
      <c r="H60" s="2" t="s">
        <v>8</v>
      </c>
      <c r="J60" s="13">
        <f>IF(MOD((A8),20)=0,(A8)/20,0)+IF(MOD((D8),20)=0,(D8)/20,0)+IF(MOD((G8),20)=0,(G8)/20,0)</f>
        <v>4</v>
      </c>
      <c r="K60" s="2" t="s">
        <v>6</v>
      </c>
    </row>
    <row r="61" spans="1:11" x14ac:dyDescent="0.25">
      <c r="A61" s="13">
        <f>A17+D17+G17</f>
        <v>1</v>
      </c>
      <c r="B61" s="2" t="s">
        <v>11</v>
      </c>
      <c r="F61" s="35">
        <f t="shared" si="1"/>
        <v>45</v>
      </c>
      <c r="G61" s="26">
        <f>A46</f>
        <v>3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1</v>
      </c>
      <c r="B62" s="2" t="s">
        <v>12</v>
      </c>
      <c r="F62" s="35">
        <f>G62*15</f>
        <v>30</v>
      </c>
      <c r="G62" s="21">
        <f>G45</f>
        <v>2</v>
      </c>
      <c r="H62" s="2" t="s">
        <v>30</v>
      </c>
      <c r="J62" s="14">
        <f>IF(MOD((A25),24)=0,(A25)/24,0)+IF(MOD((D25),24)=0,(D25)/24,0)</f>
        <v>1</v>
      </c>
      <c r="K62" s="2" t="s">
        <v>46</v>
      </c>
    </row>
    <row r="63" spans="1:11" x14ac:dyDescent="0.25">
      <c r="A63" s="13">
        <f>A19+D19+G19</f>
        <v>2</v>
      </c>
      <c r="B63" s="2" t="s">
        <v>13</v>
      </c>
      <c r="F63" s="35">
        <f>G63*5</f>
        <v>430</v>
      </c>
      <c r="G63" s="21">
        <f>A47</f>
        <v>86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1</v>
      </c>
      <c r="B64" s="2" t="s">
        <v>18</v>
      </c>
      <c r="F64" s="35">
        <f>G64*8</f>
        <v>0</v>
      </c>
      <c r="G64" s="21">
        <f>G46</f>
        <v>0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F13" sqref="F13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2" t="s">
        <v>142</v>
      </c>
      <c r="B1" s="92"/>
      <c r="C1" s="45">
        <f>Mon!B2+1</f>
        <v>21</v>
      </c>
      <c r="D1" s="46"/>
      <c r="E1" s="46"/>
      <c r="F1" s="63" t="s">
        <v>175</v>
      </c>
      <c r="G1" s="65">
        <f>Mon!C1+49-1</f>
        <v>45473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0</v>
      </c>
      <c r="J5" s="39"/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6</v>
      </c>
      <c r="B6" s="39">
        <v>288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3</v>
      </c>
      <c r="J6" s="39">
        <v>144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2</v>
      </c>
      <c r="J9" s="39">
        <v>96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15</v>
      </c>
      <c r="B12" s="44">
        <f>SUM(B5:B11)</f>
        <v>720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5</v>
      </c>
      <c r="J12" s="44">
        <f>SUM(J5:J11)</f>
        <v>240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96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0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432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288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2" t="s">
        <v>145</v>
      </c>
      <c r="B1" s="92"/>
      <c r="C1" s="45">
        <f>Mon!B2</f>
        <v>20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1596</v>
      </c>
      <c r="P3" s="53">
        <f>O3/125</f>
        <v>12.768000000000001</v>
      </c>
      <c r="R3" s="51" t="s">
        <v>149</v>
      </c>
      <c r="S3" s="55">
        <f>12*(D8+J4)</f>
        <v>1620</v>
      </c>
      <c r="T3" s="55">
        <f>15*(A4+D4+G4+J7+J5)+20*D12</f>
        <v>5310</v>
      </c>
      <c r="U3" s="55">
        <f>15*(A5+A9+D5+D9+D10+D11+G5+J6+J8+J10)+20*(A8+D13+G7)</f>
        <v>26480</v>
      </c>
      <c r="V3" s="55">
        <f>15*(A6+J11)</f>
        <v>2370</v>
      </c>
      <c r="W3" s="55">
        <f>15*D6</f>
        <v>15</v>
      </c>
      <c r="X3" s="55">
        <f>15*(A7+D7+G6+J9)</f>
        <v>495</v>
      </c>
    </row>
    <row r="4" spans="1:24" ht="12.75" customHeight="1" x14ac:dyDescent="0.25">
      <c r="A4" s="31">
        <f>Mon!A70+Tues!A43+Wed!A42+Thurs!A72+Fri!A43+NFLD!A43</f>
        <v>17</v>
      </c>
      <c r="B4" s="2" t="s">
        <v>41</v>
      </c>
      <c r="C4" s="7"/>
      <c r="D4" s="31">
        <f>Mon!D70+Tues!D43+Wed!D42+Thurs!D72+Fri!D43+NFLD!D43</f>
        <v>4</v>
      </c>
      <c r="E4" s="2" t="s">
        <v>19</v>
      </c>
      <c r="F4" s="7"/>
      <c r="G4" s="31">
        <f>Mon!G70+Tues!G43+Wed!G42+Thurs!G72+Fri!G43+NFLD!G43</f>
        <v>6</v>
      </c>
      <c r="H4" s="2" t="s">
        <v>45</v>
      </c>
      <c r="I4" s="7"/>
      <c r="J4" s="31">
        <f>Mon!J70+Tues!J43+Wed!J42+Thurs!J72+Fri!J43+NFLD!J43</f>
        <v>133</v>
      </c>
      <c r="K4" s="2" t="s">
        <v>9</v>
      </c>
      <c r="M4" s="42"/>
      <c r="N4" s="52" t="s">
        <v>7</v>
      </c>
      <c r="O4" s="53">
        <f>J5*10</f>
        <v>2790</v>
      </c>
      <c r="P4" s="53">
        <f>O4/130</f>
        <v>21.46153846153846</v>
      </c>
      <c r="R4" s="51" t="s">
        <v>150</v>
      </c>
      <c r="S4" s="55">
        <f t="shared" ref="S4:X4" si="0">S3/15</f>
        <v>108</v>
      </c>
      <c r="T4" s="55">
        <f t="shared" si="0"/>
        <v>354</v>
      </c>
      <c r="U4" s="55">
        <f t="shared" si="0"/>
        <v>1765.3333333333333</v>
      </c>
      <c r="V4" s="55">
        <f t="shared" si="0"/>
        <v>158</v>
      </c>
      <c r="W4" s="55">
        <f t="shared" si="0"/>
        <v>1</v>
      </c>
      <c r="X4" s="55">
        <f t="shared" si="0"/>
        <v>33</v>
      </c>
    </row>
    <row r="5" spans="1:24" ht="12.75" customHeight="1" x14ac:dyDescent="0.25">
      <c r="A5" s="26">
        <f>Mon!A71+Tues!A44+Wed!A43+Thurs!A73+Fri!A44+NFLD!A44</f>
        <v>78</v>
      </c>
      <c r="B5" s="2" t="s">
        <v>42</v>
      </c>
      <c r="C5" s="24"/>
      <c r="D5" s="26">
        <f>Mon!D71+Tues!D44+Wed!D43+Thurs!D73+Fri!D44+NFLD!D44</f>
        <v>38</v>
      </c>
      <c r="E5" s="2" t="s">
        <v>20</v>
      </c>
      <c r="G5" s="26">
        <f>Mon!G71+Tues!G44+Wed!G43+Thurs!G73+Fri!G44+NFLD!G44</f>
        <v>154</v>
      </c>
      <c r="H5" s="2" t="s">
        <v>46</v>
      </c>
      <c r="J5" s="26">
        <f>Mon!J71+Tues!J44+Wed!J43+Thurs!J73+Fri!J44+NFLD!J44</f>
        <v>279</v>
      </c>
      <c r="K5" s="2" t="s">
        <v>7</v>
      </c>
      <c r="M5" s="42"/>
      <c r="N5" s="52" t="s">
        <v>8</v>
      </c>
      <c r="O5" s="53">
        <f>J6*10</f>
        <v>520</v>
      </c>
      <c r="P5" s="53">
        <f t="shared" ref="P5:P25" si="1">O5/130</f>
        <v>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3</v>
      </c>
      <c r="B6" s="2" t="s">
        <v>4</v>
      </c>
      <c r="C6" s="24"/>
      <c r="D6" s="26">
        <f>Mon!D72+Tues!D45+Wed!D44+Thurs!D74+Fri!D45+NFLD!D45</f>
        <v>1</v>
      </c>
      <c r="E6" s="2" t="s">
        <v>27</v>
      </c>
      <c r="G6" s="26">
        <f>Mon!G72+Tues!G45+Wed!G44+Thurs!G74+Fri!G45+NFLD!G45</f>
        <v>6</v>
      </c>
      <c r="H6" s="2" t="s">
        <v>30</v>
      </c>
      <c r="J6" s="26">
        <f>Mon!J72+Tues!J45+Wed!J44+Thurs!J74+Fri!J45+NFLD!J45</f>
        <v>52</v>
      </c>
      <c r="K6" s="2" t="s">
        <v>8</v>
      </c>
      <c r="M6" s="42"/>
      <c r="N6" s="52" t="s">
        <v>55</v>
      </c>
      <c r="O6" s="53">
        <f>J7*15</f>
        <v>720</v>
      </c>
      <c r="P6" s="53">
        <f>O6/150</f>
        <v>4.8</v>
      </c>
    </row>
    <row r="7" spans="1:24" ht="12.75" customHeight="1" x14ac:dyDescent="0.25">
      <c r="A7" s="26">
        <f>Mon!A73+Tues!A46+Wed!A45+Thurs!A75+Fri!A46+NFLD!A46</f>
        <v>14</v>
      </c>
      <c r="B7" s="2" t="s">
        <v>5</v>
      </c>
      <c r="C7" s="24"/>
      <c r="D7" s="26">
        <f>Mon!D73+Tues!D46+Wed!D45+Thurs!D75+Fri!D46+NFLD!D46</f>
        <v>2</v>
      </c>
      <c r="E7" s="2" t="s">
        <v>21</v>
      </c>
      <c r="G7" s="26">
        <f>Mon!G73+Tues!G46+Wed!G45+Thurs!G75+Fri!G46+NFLD!G46</f>
        <v>29</v>
      </c>
      <c r="H7" s="2" t="s">
        <v>134</v>
      </c>
      <c r="J7" s="26">
        <f>Mon!J73+Tues!J46+Wed!J45+Thurs!J75+Fri!J46+NFLD!J46</f>
        <v>48</v>
      </c>
      <c r="K7" s="2" t="s">
        <v>55</v>
      </c>
      <c r="M7" s="42"/>
      <c r="N7" s="52" t="s">
        <v>44</v>
      </c>
      <c r="O7" s="53">
        <f t="shared" ref="O7" si="2">J8*15</f>
        <v>8565</v>
      </c>
      <c r="P7" s="53">
        <f t="shared" ref="P7:P8" si="3">O7/150</f>
        <v>57.1</v>
      </c>
      <c r="R7" s="12" t="s">
        <v>137</v>
      </c>
      <c r="S7" s="60">
        <f>Mon!B2</f>
        <v>20</v>
      </c>
    </row>
    <row r="8" spans="1:24" ht="12.75" customHeight="1" x14ac:dyDescent="0.25">
      <c r="A8" s="26">
        <f>Mon!A74+Tues!A47+Wed!A46+Thurs!A76+Fri!A47+NFLD!A47</f>
        <v>223</v>
      </c>
      <c r="B8" s="2" t="s">
        <v>6</v>
      </c>
      <c r="C8" s="24"/>
      <c r="D8" s="26">
        <f>Mon!D74+Tues!D47+Wed!D46+Thurs!D76+Fri!D47+NFLD!D47</f>
        <v>2</v>
      </c>
      <c r="E8" s="2" t="s">
        <v>23</v>
      </c>
      <c r="J8" s="26">
        <f>Mon!J74+Tues!J47+Wed!J46+Thurs!J76+Fri!J47+NFLD!J47</f>
        <v>571</v>
      </c>
      <c r="K8" s="2" t="s">
        <v>44</v>
      </c>
      <c r="M8" s="42"/>
      <c r="N8" s="52" t="s">
        <v>2</v>
      </c>
      <c r="O8" s="53">
        <f>J9*15</f>
        <v>165</v>
      </c>
      <c r="P8" s="53">
        <f t="shared" si="3"/>
        <v>1.1000000000000001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22</v>
      </c>
      <c r="B9" s="2" t="s">
        <v>15</v>
      </c>
      <c r="C9" s="24"/>
      <c r="D9" s="26">
        <f>Mon!D75+Tues!D48+Wed!D47+Thurs!D77+Fri!D48+NFLD!D48</f>
        <v>52</v>
      </c>
      <c r="E9" s="2" t="s">
        <v>22</v>
      </c>
      <c r="J9" s="26">
        <f>Mon!J75+Tues!J48+Wed!J47+Thurs!J77+Fri!J48+NFLD!J48</f>
        <v>11</v>
      </c>
      <c r="K9" s="2" t="s">
        <v>2</v>
      </c>
      <c r="M9" s="42"/>
      <c r="N9" s="52" t="s">
        <v>153</v>
      </c>
      <c r="O9" s="53">
        <f>7*(J10+J11)+8*(D12+D13+G7)+5*A9</f>
        <v>4524</v>
      </c>
      <c r="P9" s="53">
        <f>O9/140</f>
        <v>32.314285714285717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335</v>
      </c>
      <c r="K10" s="2" t="s">
        <v>1</v>
      </c>
      <c r="M10" s="42"/>
      <c r="N10" s="52" t="s">
        <v>41</v>
      </c>
      <c r="O10" s="53">
        <f>A4*15</f>
        <v>255</v>
      </c>
      <c r="P10" s="53">
        <f>O10/250</f>
        <v>1.02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155</v>
      </c>
      <c r="K11" s="2" t="s">
        <v>0</v>
      </c>
      <c r="M11" s="42"/>
      <c r="N11" s="52" t="s">
        <v>42</v>
      </c>
      <c r="O11" s="53">
        <f t="shared" ref="O11:O12" si="4">A5*15</f>
        <v>1170</v>
      </c>
      <c r="P11" s="53">
        <f t="shared" ref="P11:P13" si="5">O11/250</f>
        <v>4.68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0</v>
      </c>
      <c r="E12" s="2" t="s">
        <v>26</v>
      </c>
      <c r="M12" s="42"/>
      <c r="N12" s="52" t="s">
        <v>4</v>
      </c>
      <c r="O12" s="53">
        <f t="shared" si="4"/>
        <v>45</v>
      </c>
      <c r="P12" s="53">
        <f t="shared" si="5"/>
        <v>0.18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94</v>
      </c>
      <c r="E13" s="2" t="s">
        <v>28</v>
      </c>
      <c r="M13" s="42"/>
      <c r="N13" s="52" t="s">
        <v>5</v>
      </c>
      <c r="O13" s="53">
        <f>A7*15</f>
        <v>210</v>
      </c>
      <c r="P13" s="53">
        <f t="shared" si="5"/>
        <v>0.84</v>
      </c>
      <c r="S13" s="59"/>
    </row>
    <row r="14" spans="1:24" ht="12.75" customHeight="1" x14ac:dyDescent="0.25">
      <c r="A14" s="7"/>
      <c r="N14" s="52" t="s">
        <v>158</v>
      </c>
      <c r="O14" s="53">
        <f>5*A9</f>
        <v>110</v>
      </c>
      <c r="P14" s="53">
        <f>O14/50</f>
        <v>2.2000000000000002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330</v>
      </c>
      <c r="P15" s="53">
        <f>O15/250</f>
        <v>1.32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90</v>
      </c>
      <c r="P16" s="53">
        <f t="shared" ref="P16:P18" si="6">O16/250</f>
        <v>0.36</v>
      </c>
    </row>
    <row r="17" spans="1:24" ht="12.75" customHeight="1" x14ac:dyDescent="0.25">
      <c r="A17" s="32">
        <f>Mon!A85+Tues!A58+Wed!A57+Thurs!A87+Fri!A58+NFLD!A58</f>
        <v>0</v>
      </c>
      <c r="B17" s="2" t="s">
        <v>14</v>
      </c>
      <c r="D17" s="26">
        <f>A6</f>
        <v>3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2310</v>
      </c>
      <c r="P17" s="53">
        <f t="shared" si="6"/>
        <v>9.24</v>
      </c>
    </row>
    <row r="18" spans="1:24" ht="12.75" customHeight="1" x14ac:dyDescent="0.25">
      <c r="A18" s="26">
        <f>Mon!A86+Tues!A59+Wed!A58+Thurs!A88+Fri!A59+NFLD!A59</f>
        <v>0</v>
      </c>
      <c r="B18" s="2" t="s">
        <v>16</v>
      </c>
      <c r="D18" s="21">
        <f>A9</f>
        <v>22</v>
      </c>
      <c r="E18" s="2" t="s">
        <v>15</v>
      </c>
      <c r="F18" s="24"/>
      <c r="G18" s="14">
        <f>Mon!J86+Tues!J59+Thurs!J88+Fri!J59</f>
        <v>0</v>
      </c>
      <c r="H18" t="s">
        <v>42</v>
      </c>
      <c r="N18" s="52" t="s">
        <v>30</v>
      </c>
      <c r="O18" s="53">
        <f t="shared" si="7"/>
        <v>90</v>
      </c>
      <c r="P18" s="53">
        <f t="shared" si="6"/>
        <v>0.36</v>
      </c>
    </row>
    <row r="19" spans="1:24" ht="12.75" customHeight="1" x14ac:dyDescent="0.25">
      <c r="A19" s="26">
        <f>Mon!A87+Tues!A60+Wed!A59+Thurs!A89+Fri!A60+NFLD!A60</f>
        <v>3</v>
      </c>
      <c r="B19" s="2" t="s">
        <v>17</v>
      </c>
      <c r="D19" s="29">
        <f>J6</f>
        <v>52</v>
      </c>
      <c r="E19" s="2" t="s">
        <v>8</v>
      </c>
      <c r="F19" s="24"/>
      <c r="G19" s="14">
        <f>Mon!J87+Tues!J60+Thurs!J89+Fri!J60</f>
        <v>7</v>
      </c>
      <c r="H19" s="2" t="s">
        <v>6</v>
      </c>
      <c r="N19" s="52" t="s">
        <v>159</v>
      </c>
      <c r="O19" s="53">
        <f>8*G7</f>
        <v>232</v>
      </c>
      <c r="P19" s="53">
        <f>O19/50</f>
        <v>4.6399999999999997</v>
      </c>
    </row>
    <row r="20" spans="1:24" ht="12.75" customHeight="1" x14ac:dyDescent="0.25">
      <c r="A20" s="26">
        <f>Mon!A88+Tues!A61+Wed!A60+Thurs!A90+Fri!A61+NFLD!A61</f>
        <v>3</v>
      </c>
      <c r="B20" s="2" t="s">
        <v>11</v>
      </c>
      <c r="D20" s="26">
        <f>A7</f>
        <v>14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60</v>
      </c>
      <c r="P20" s="53">
        <f>O20/150</f>
        <v>0.4</v>
      </c>
    </row>
    <row r="21" spans="1:24" ht="12.75" customHeight="1" x14ac:dyDescent="0.25">
      <c r="A21" s="26">
        <f>Mon!A89+Tues!A62+Wed!A61+Thurs!A91+Fri!A62+NFLD!A62</f>
        <v>2</v>
      </c>
      <c r="B21" s="2" t="s">
        <v>12</v>
      </c>
      <c r="D21" s="21">
        <f>G6</f>
        <v>6</v>
      </c>
      <c r="E21" s="2" t="s">
        <v>30</v>
      </c>
      <c r="F21" s="24"/>
      <c r="G21" s="14">
        <f>Mon!J89+Tues!J62+Thurs!J91+Fri!J62</f>
        <v>2</v>
      </c>
      <c r="H21" s="2" t="s">
        <v>46</v>
      </c>
      <c r="N21" s="52" t="s">
        <v>20</v>
      </c>
      <c r="O21" s="53">
        <f t="shared" ref="O21:O23" si="8">15*D5</f>
        <v>570</v>
      </c>
      <c r="P21" s="53">
        <f t="shared" ref="P21:P23" si="9">O21/150</f>
        <v>3.8</v>
      </c>
    </row>
    <row r="22" spans="1:24" ht="12.75" customHeight="1" x14ac:dyDescent="0.25">
      <c r="A22" s="26">
        <f>Mon!A90+Tues!A63+Wed!A62+Thurs!A92+Fri!A63+NFLD!A63</f>
        <v>3</v>
      </c>
      <c r="B22" s="2" t="s">
        <v>13</v>
      </c>
      <c r="D22" s="21">
        <f>A8</f>
        <v>223</v>
      </c>
      <c r="E22" s="2" t="s">
        <v>54</v>
      </c>
      <c r="F22" s="24"/>
      <c r="G22" s="14">
        <f>Mon!J90+Tues!J63+Thurs!J92+Fri!J63</f>
        <v>0</v>
      </c>
      <c r="H22" s="2" t="s">
        <v>135</v>
      </c>
      <c r="N22" s="52" t="s">
        <v>27</v>
      </c>
      <c r="O22" s="53">
        <f t="shared" si="8"/>
        <v>15</v>
      </c>
      <c r="P22" s="53">
        <f t="shared" si="9"/>
        <v>0.1</v>
      </c>
    </row>
    <row r="23" spans="1:24" ht="12.75" customHeight="1" x14ac:dyDescent="0.25">
      <c r="A23" s="26">
        <f>Mon!A91+Tues!A64+Wed!A63+Thurs!A93+Fri!A64+NFLD!A64</f>
        <v>1</v>
      </c>
      <c r="B23" s="2" t="s">
        <v>18</v>
      </c>
      <c r="D23" s="21">
        <f>G7</f>
        <v>29</v>
      </c>
      <c r="E23" s="2" t="s">
        <v>135</v>
      </c>
      <c r="F23" s="24"/>
      <c r="G23" s="14">
        <f>Mon!J91+Tues!J64+Thurs!J93+Fri!J64</f>
        <v>3</v>
      </c>
      <c r="H23" s="2" t="s">
        <v>7</v>
      </c>
      <c r="N23" s="52" t="s">
        <v>21</v>
      </c>
      <c r="O23" s="53">
        <f t="shared" si="8"/>
        <v>30</v>
      </c>
      <c r="P23" s="53">
        <f t="shared" si="9"/>
        <v>0.2</v>
      </c>
    </row>
    <row r="24" spans="1:24" ht="12.75" customHeight="1" x14ac:dyDescent="0.25">
      <c r="F24" s="24"/>
      <c r="G24" s="14">
        <f>Mon!J92+Tues!J65+Thurs!J94+Fri!J65</f>
        <v>2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520</v>
      </c>
      <c r="P25" s="53">
        <f t="shared" si="1"/>
        <v>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752</v>
      </c>
      <c r="P29" s="53">
        <f>O29/50</f>
        <v>15.04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282</v>
      </c>
      <c r="P32" s="51">
        <f>O32/25-24*(G17+G20+G23)</f>
        <v>-60.72</v>
      </c>
      <c r="R32" s="93" t="s">
        <v>172</v>
      </c>
      <c r="S32" s="93"/>
      <c r="T32" s="93"/>
      <c r="U32" s="93"/>
      <c r="V32" s="93"/>
      <c r="W32" s="93"/>
      <c r="X32" s="93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1239</v>
      </c>
      <c r="P33" s="51">
        <f>O33/25-24*(G18+G21+G24)-20*G19</f>
        <v>-186.44</v>
      </c>
      <c r="R33" s="93"/>
      <c r="S33" s="93"/>
      <c r="T33" s="93"/>
      <c r="U33" s="93"/>
      <c r="V33" s="93"/>
      <c r="W33" s="93"/>
      <c r="X33" s="93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187</v>
      </c>
      <c r="P34" s="51">
        <f t="shared" ref="P34:P36" si="10">O34/25</f>
        <v>7.48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158</v>
      </c>
      <c r="P35" s="51">
        <f t="shared" si="10"/>
        <v>6.32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34</v>
      </c>
      <c r="P36" s="51">
        <f t="shared" si="10"/>
        <v>1.36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94</v>
      </c>
      <c r="P37" s="51">
        <f>O37/20</f>
        <v>4.7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29</v>
      </c>
      <c r="P38" s="51">
        <f>O38/20-13*G22</f>
        <v>1.45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2024-05-17T17:06:03Z</cp:lastPrinted>
  <dcterms:created xsi:type="dcterms:W3CDTF">2014-06-06T13:58:10Z</dcterms:created>
  <dcterms:modified xsi:type="dcterms:W3CDTF">2024-05-17T17:30:29Z</dcterms:modified>
</cp:coreProperties>
</file>