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5F09FE85-8A2B-46E9-A142-F86A35165F98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K89" i="4" s="1"/>
  <c r="A12" i="4"/>
  <c r="A11" i="4"/>
  <c r="A6" i="4"/>
  <c r="D1" i="7"/>
  <c r="K31" i="9"/>
  <c r="H73" i="8"/>
  <c r="K48" i="8"/>
  <c r="D1" i="4"/>
  <c r="G1" i="11" s="1"/>
  <c r="S7" i="12"/>
  <c r="K66" i="9" l="1"/>
  <c r="K59" i="9"/>
  <c r="K94" i="8"/>
  <c r="K87" i="8"/>
  <c r="K64" i="9"/>
  <c r="K63" i="9"/>
  <c r="K62" i="9"/>
  <c r="K91" i="8"/>
  <c r="K90" i="8"/>
  <c r="K61" i="7"/>
  <c r="K85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<sst xmlns="http://schemas.openxmlformats.org/spreadsheetml/2006/main" count="1137" uniqueCount="192">
  <si>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</si>
  <si>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</si>
  <si>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</si>
  <si>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</si>
  <si>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</si>
  <si>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</si>
  <si>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</si>
  <si>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</si>
  <si>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</si>
  <si>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</si>
  <si>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</si>
  <si>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</si>
  <si>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</si>
  <si>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</si>
  <si>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</si>
  <si>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</si>
  <si>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</si>
  <si>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</si>
  <si>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</si>
  <si>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</si>
  <si>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</si>
  <si>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</si>
  <si>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</si>
  <si>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</si>
  <si>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</si>
  <si>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</si>
  <si>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</si>
  <si>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</si>
  <si>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</si>
  <si>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</si>
  <si>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</si>
  <si>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</si>
  <si>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</si>
  <si>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</si>
  <si>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</si>
  <si>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</si>
  <si>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</si>
  <si>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</si>
  <si>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</si>
  <si>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</si>
  <si>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</si>
  <si>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</si>
  <si>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</si>
  <si>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</si>
  <si>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</si>
  <si>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</si>
  <si>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</si>
  <si>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</si>
  <si>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</si>
  <si>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</si>
  <si>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</si>
  <si>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</si>
  <si>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</si>
  <si>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</si>
  <si>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</si>
  <si>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</si>
  <si>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</si>
  <si>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</si>
  <si>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</si>
  <si>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</si>
  <si>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</si>
  <si>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</si>
  <si>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</si>
  <si>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</si>
  <si>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</si>
  <si>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</si>
  <si>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</si>
  <si>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</si>
  <si>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</si>
  <si>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</si>
  <si>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</si>
  <si>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</si>
  <si>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</si>
  <si>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</si>
  <si>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</si>
  <si>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</si>
  <si>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</si>
  <si>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</si>
  <si>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</si>
  <si>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</si>
  <si>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</si>
  <si>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</si>
  <si>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</si>
  <si>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</si>
  <si>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</si>
  <si>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</si>
  <si>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</si>
  <si>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</si>
  <si>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</si>
  <si>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</si>
  <si>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</si>
  <si>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</si>
  <si>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</si>
  <si>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</si>
  <si>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</si>
  <si>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</si>
  <si>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</si>
  <si>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</si>
  <si>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</si>
  <si>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</si>
  <si>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</si>
  <si>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</si>
  <si>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</si>
  <si>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</si>
  <si>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</si>
  <si>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</si>
  <si>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</si>
  <si>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</si>
  <si>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</si>
  <si>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</si>
  <si>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</si>
  <si>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</si>
  <si>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</si>
  <si>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</si>
  <si>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</si>
  <si>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</si>
  <si>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</si>
  <si>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</si>
  <si>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</si>
  <si>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</si>
  <si>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</si>
  <si>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</si>
  <si>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</si>
  <si>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</si>
  <si>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</si>
  <si>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</si>
  <si>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</si>
  <si>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</si>
  <si>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</si>
  <si>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</si>
  <si>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</si>
  <si>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</si>
  <si>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</si>
  <si>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</si>
  <si>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</si>
  <si>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</si>
  <si>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</si>
  <si>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</si>
  <si>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</si>
  <si>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</si>
  <si>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</si>
  <si>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</si>
  <si>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</si>
  <si>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</si>
  <si>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</si>
  <si>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</si>
  <si>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</si>
  <si>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</si>
  <si>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</si>
  <si>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</si>
  <si>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</si>
  <si>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</si>
  <si>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</si>
  <si>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</si>
  <si>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</si>
  <si>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</si>
  <si>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</si>
  <si>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</si>
  <si>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</si>
  <si>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</si>
  <si>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</si>
  <si>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</si>
  <si>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</si>
  <si>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</si>
  <si>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</si>
  <si>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</si>
  <si>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</si>
  <si>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</si>
  <si>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</si>
  <si>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</si>
  <si>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</si>
  <si>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</si>
  <si>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</si>
  <si>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</si>
  <si>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</si>
  <si>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</si>
  <si>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</si>
  <si>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</si>
  <si>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</si>
  <si>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</si>
  <si>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</si>
  <si>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</si>
  <si>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</si>
  <si>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</si>
  <si>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</si>
  <si>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</si>
  <si>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</si>
  <si>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</si>
  <si>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</si>
  <si>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15. Not Just Cakes</t>
  </si>
  <si>
    <t>16. Janes</t>
  </si>
  <si>
    <t>17. Bras D'or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</si>
</sst>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K7" sqref="K7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137</v>
      </c>
      <c r="C1" s="96"/>
      <c r="D1" s="95">
        <f>DATE(2024,1,1)+(C2-1)*7</f>
        <v>45558</v>
      </c>
      <c r="E1" s="96"/>
      <c r="F1" s="96"/>
      <c r="H1" s="63" t="s">
        <v>174</v>
      </c>
      <c r="I1" s="64">
        <f>D1+42-1</f>
        <v>45599</v>
      </c>
      <c r="L1" s="19" t="s">
        <v>38</v>
      </c>
    </row>
    <row r="2" spans="1:12" ht="15.75" x14ac:dyDescent="0.25">
      <c r="B2" s="41" t="s">
        <v>136</v>
      </c>
      <c r="C2" s="50">
        <v>39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8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8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33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4870764138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6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50</v>
      </c>
      <c r="F15" s="17"/>
      <c r="H15" s="39">
        <f>SUM(H5:H14)</f>
        <v>23</v>
      </c>
      <c r="I15" s="2" t="s">
        <v>35</v>
      </c>
    </row>
    <row r="16" spans="1:12" x14ac:dyDescent="0.25">
      <c r="B16" s="39">
        <v>2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184</v>
      </c>
      <c r="E17" s="39">
        <v>0</v>
      </c>
      <c r="F17" s="2" t="s">
        <v>30</v>
      </c>
      <c r="H17" s="2" t="s">
        <v>36</v>
      </c>
      <c r="I17" s="16">
        <v>7747</v>
      </c>
    </row>
    <row r="18" spans="2:10" x14ac:dyDescent="0.25">
      <c r="B18" s="39">
        <v>1</v>
      </c>
      <c r="C18" s="2" t="s">
        <v>183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185</v>
      </c>
      <c r="E19" s="39">
        <f>SUM(E16:E18)</f>
        <v>25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77</v>
      </c>
      <c r="C22" s="2" t="s">
        <v>35</v>
      </c>
      <c r="E22" s="74">
        <v>2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0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80" t="s">
        <v>1</v>
      </c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80" t="s">
        <v>44</v>
      </c>
    </row>
    <row r="33" spans="1:12" x14ac:dyDescent="0.25">
      <c r="B33" s="39">
        <f>SUM(B26:B32)</f>
        <v>0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6" t="s">
        <v>137</v>
      </c>
      <c r="C34" s="96"/>
      <c r="D34" s="95">
        <f>D1</f>
        <v>45558</v>
      </c>
      <c r="E34" s="96"/>
      <c r="F34" s="96"/>
      <c r="H34" s="63" t="s">
        <v>174</v>
      </c>
      <c r="I34" s="67">
        <f>I1</f>
        <v>45599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>
        <v>2</v>
      </c>
      <c r="C37" s="2" t="s">
        <v>41</v>
      </c>
      <c r="E37" s="39">
        <v>2</v>
      </c>
      <c r="F37" s="2" t="s">
        <v>19</v>
      </c>
      <c r="H37" s="39">
        <v>9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18</v>
      </c>
      <c r="F38" s="2" t="s">
        <v>20</v>
      </c>
      <c r="H38" s="39">
        <v>18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4</v>
      </c>
      <c r="F42" s="2" t="s">
        <v>22</v>
      </c>
      <c r="H42" s="39">
        <v>20</v>
      </c>
      <c r="I42" s="2" t="s">
        <v>22</v>
      </c>
    </row>
    <row r="43" spans="1:12" x14ac:dyDescent="0.25">
      <c r="A43">
        <f>ROUNDDOWN(B43/24,0)</f>
        <v>2</v>
      </c>
      <c r="B43" s="39">
        <v>48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4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33</v>
      </c>
      <c r="F46" s="16" t="s">
        <v>28</v>
      </c>
      <c r="H46" s="39">
        <v>45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58</v>
      </c>
      <c r="F47" s="2" t="s">
        <v>35</v>
      </c>
      <c r="H47" s="39">
        <f>SUM(H37:H46)</f>
        <v>94</v>
      </c>
      <c r="I47" s="2" t="s">
        <v>35</v>
      </c>
    </row>
    <row r="48" spans="1:12" x14ac:dyDescent="0.25">
      <c r="B48" s="39">
        <v>3</v>
      </c>
      <c r="C48" s="2" t="s">
        <v>16</v>
      </c>
      <c r="F48" s="2"/>
      <c r="I48" s="2"/>
    </row>
    <row r="49" spans="2:10" x14ac:dyDescent="0.25">
      <c r="B49" s="39">
        <v>0</v>
      </c>
      <c r="C49" s="2" t="s">
        <v>184</v>
      </c>
      <c r="E49" s="2" t="s">
        <v>36</v>
      </c>
      <c r="F49" s="16">
        <v>7542</v>
      </c>
      <c r="H49" s="2" t="s">
        <v>36</v>
      </c>
      <c r="I49" s="16">
        <v>7535</v>
      </c>
    </row>
    <row r="50" spans="2:10" x14ac:dyDescent="0.25">
      <c r="B50" s="39">
        <v>0</v>
      </c>
      <c r="C50" s="2" t="s">
        <v>183</v>
      </c>
      <c r="G50" s="2"/>
    </row>
    <row r="51" spans="2:10" x14ac:dyDescent="0.25">
      <c r="B51" s="39">
        <v>0</v>
      </c>
      <c r="C51" s="2" t="s">
        <v>185</v>
      </c>
    </row>
    <row r="52" spans="2:10" ht="15.75" thickBot="1" x14ac:dyDescent="0.3">
      <c r="B52" s="39">
        <v>0</v>
      </c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</row>
    <row r="54" spans="2:10" x14ac:dyDescent="0.25">
      <c r="B54" s="39">
        <f>SUM(B37:B53)</f>
        <v>85</v>
      </c>
      <c r="C54" s="2" t="s">
        <v>35</v>
      </c>
      <c r="E54" s="39">
        <v>1</v>
      </c>
      <c r="F54" s="2" t="s">
        <v>30</v>
      </c>
      <c r="G54">
        <f>ROUNDDOWN(H54/24,0)</f>
        <v>3</v>
      </c>
      <c r="H54" s="39">
        <v>88</v>
      </c>
      <c r="I54" s="2" t="s">
        <v>31</v>
      </c>
    </row>
    <row r="55" spans="2:10" x14ac:dyDescent="0.25">
      <c r="E55" s="39">
        <v>1</v>
      </c>
      <c r="F55" s="16" t="s">
        <v>12</v>
      </c>
      <c r="H55" s="39">
        <v>0</v>
      </c>
      <c r="I55" s="2" t="s">
        <v>33</v>
      </c>
    </row>
    <row r="56" spans="2:10" x14ac:dyDescent="0.25">
      <c r="C56" s="4"/>
      <c r="E56" s="39">
        <f>SUM(E53:E55)</f>
        <v>26</v>
      </c>
      <c r="F56" s="2" t="s">
        <v>35</v>
      </c>
      <c r="G56">
        <f>ROUNDDOWN(H56/13,0)</f>
        <v>1</v>
      </c>
      <c r="H56" s="39">
        <v>18</v>
      </c>
      <c r="I56" s="2" t="s">
        <v>134</v>
      </c>
    </row>
    <row r="57" spans="2:10" x14ac:dyDescent="0.25">
      <c r="H57" s="39">
        <v>2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0</v>
      </c>
      <c r="H58" s="39">
        <v>16</v>
      </c>
      <c r="I58" s="16" t="s">
        <v>34</v>
      </c>
    </row>
    <row r="59" spans="2:10" x14ac:dyDescent="0.25">
      <c r="E59" s="39">
        <v>24</v>
      </c>
      <c r="F59" s="2" t="s">
        <v>29</v>
      </c>
      <c r="H59" s="39">
        <f>SUM(H53:H58)</f>
        <v>124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>
        <v>4870740591</v>
      </c>
    </row>
    <row r="62" spans="2:10" x14ac:dyDescent="0.25">
      <c r="E62" s="39">
        <f>SUM(E59:E61)</f>
        <v>24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210</v>
      </c>
      <c r="E70" s="15">
        <f t="shared" ref="E70:E79" si="0">H5+E37+H37</f>
        <v>14</v>
      </c>
      <c r="F70" s="2" t="s">
        <v>19</v>
      </c>
      <c r="H70" s="13">
        <f>E5+H53</f>
        <v>1</v>
      </c>
      <c r="I70" s="2" t="s">
        <v>45</v>
      </c>
      <c r="K70" s="47">
        <f>B10+E9+B30+B42+H57</f>
        <v>16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660</v>
      </c>
      <c r="E71" s="14">
        <f t="shared" si="0"/>
        <v>44</v>
      </c>
      <c r="F71" s="2" t="s">
        <v>20</v>
      </c>
      <c r="H71" s="14">
        <f>E6+E16+E59+H54+E53</f>
        <v>168</v>
      </c>
      <c r="I71" s="2" t="s">
        <v>46</v>
      </c>
      <c r="K71" s="13">
        <f>B11+E10+B31+B43+H58</f>
        <v>98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26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300</v>
      </c>
      <c r="E75" s="14">
        <f t="shared" si="0"/>
        <v>30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672</v>
      </c>
      <c r="E79" s="14">
        <f t="shared" si="0"/>
        <v>84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1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5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3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54</v>
      </c>
      <c r="K90" s="14">
        <f>D8+G56</f>
        <v>1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208</v>
      </c>
      <c r="H91" s="21">
        <f>H73</f>
        <v>26</v>
      </c>
      <c r="I91" s="2" t="s">
        <v>134</v>
      </c>
      <c r="K91" s="14">
        <f>A11+D10+A43+G58</f>
        <v>3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K38" sqref="K37:K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137</v>
      </c>
      <c r="C1" s="96"/>
      <c r="D1" s="95">
        <f>DATE(2024,1,1)+(Mon!C2-1)*7+1</f>
        <v>45559</v>
      </c>
      <c r="E1" s="95"/>
      <c r="F1" s="95"/>
      <c r="H1" s="63" t="s">
        <v>174</v>
      </c>
      <c r="I1" s="64">
        <f>Mon!D1+42-1</f>
        <v>45599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9</v>
      </c>
      <c r="C9" s="2" t="s">
        <v>9</v>
      </c>
      <c r="E9" s="39">
        <v>5</v>
      </c>
      <c r="F9" s="2" t="s">
        <v>9</v>
      </c>
      <c r="H9" s="39">
        <v>8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3</v>
      </c>
      <c r="H11" s="39">
        <v>72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0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2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18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2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69" t="s">
        <v>61</v>
      </c>
      <c r="L16" s="73"/>
    </row>
    <row r="17" spans="1:18" ht="12.4" customHeight="1" x14ac:dyDescent="0.25">
      <c r="B17" s="39">
        <v>1</v>
      </c>
      <c r="C17" s="2" t="s">
        <v>183</v>
      </c>
      <c r="E17" s="39">
        <v>0</v>
      </c>
      <c r="F17" s="2" t="s">
        <v>183</v>
      </c>
      <c r="G17" s="2"/>
      <c r="H17" s="39">
        <v>0</v>
      </c>
      <c r="I17" s="2" t="s">
        <v>183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100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128</v>
      </c>
      <c r="C21" s="2" t="s">
        <v>35</v>
      </c>
      <c r="E21" s="39">
        <f>SUM(E4:E20)</f>
        <v>41</v>
      </c>
      <c r="F21" s="2" t="s">
        <v>35</v>
      </c>
      <c r="H21" s="39">
        <f>SUM(H4:H20)</f>
        <v>118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5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6</v>
      </c>
      <c r="C27" s="2" t="s">
        <v>134</v>
      </c>
      <c r="D27">
        <f>ROUNDDOWN(E27/13,0)</f>
        <v>0</v>
      </c>
      <c r="E27" s="39">
        <v>10</v>
      </c>
      <c r="F27" s="2" t="s">
        <v>134</v>
      </c>
      <c r="H27" s="39">
        <f>SUM(H24:H26)</f>
        <v>10</v>
      </c>
      <c r="I27" s="2" t="s">
        <v>35</v>
      </c>
      <c r="K27" s="74">
        <v>20</v>
      </c>
      <c r="L27" s="85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5</v>
      </c>
      <c r="F28" s="2" t="s">
        <v>47</v>
      </c>
      <c r="K28" s="74">
        <v>2</v>
      </c>
      <c r="L28" s="85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77</v>
      </c>
      <c r="D29">
        <f>ROUNDDOWN(E29/24,0)</f>
        <v>0</v>
      </c>
      <c r="E29" s="39">
        <v>8</v>
      </c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14</v>
      </c>
      <c r="C30" s="2" t="s">
        <v>35</v>
      </c>
      <c r="E30" s="39">
        <f>SUM(E24:E29)</f>
        <v>31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40</v>
      </c>
      <c r="L31" s="90" t="s">
        <v>44</v>
      </c>
    </row>
    <row r="32" spans="1:18" ht="12.4" customHeight="1" x14ac:dyDescent="0.25">
      <c r="B32" s="2" t="s">
        <v>36</v>
      </c>
      <c r="C32" s="16">
        <v>4870802852</v>
      </c>
      <c r="E32" s="2" t="s">
        <v>36</v>
      </c>
      <c r="F32" s="16">
        <v>4870799303</v>
      </c>
      <c r="K32" s="87">
        <f>K28</f>
        <v>2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>
        <v>5</v>
      </c>
      <c r="I34" t="s">
        <v>55</v>
      </c>
    </row>
    <row r="35" spans="2:12" ht="12.4" customHeight="1" x14ac:dyDescent="0.25">
      <c r="B35" s="39">
        <v>48</v>
      </c>
      <c r="C35" s="2" t="s">
        <v>52</v>
      </c>
      <c r="E35" s="39">
        <v>15</v>
      </c>
      <c r="F35" t="s">
        <v>44</v>
      </c>
      <c r="H35" s="39">
        <v>4</v>
      </c>
      <c r="I35" s="16" t="s">
        <v>2</v>
      </c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54</v>
      </c>
      <c r="H36" s="39">
        <f>SUM(H34:H35)</f>
        <v>9</v>
      </c>
      <c r="I36" s="2" t="s">
        <v>35</v>
      </c>
    </row>
    <row r="37" spans="2:12" ht="12.4" customHeight="1" x14ac:dyDescent="0.25">
      <c r="B37" s="39">
        <v>8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thickBot="1" x14ac:dyDescent="0.3">
      <c r="B38" s="42">
        <v>0</v>
      </c>
      <c r="C38" s="16" t="s">
        <v>28</v>
      </c>
      <c r="H38" s="17" t="s">
        <v>107</v>
      </c>
      <c r="I38" s="5"/>
    </row>
    <row r="39" spans="2:12" x14ac:dyDescent="0.25">
      <c r="B39" s="39">
        <f>SUM(B35:B38)</f>
        <v>56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35</v>
      </c>
      <c r="L43" s="2" t="s">
        <v>9</v>
      </c>
    </row>
    <row r="44" spans="2:12" x14ac:dyDescent="0.25">
      <c r="B44" s="26">
        <f>B5+H5+K5+E5</f>
        <v>29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16</v>
      </c>
      <c r="I44" s="2" t="s">
        <v>46</v>
      </c>
      <c r="K44" s="13">
        <f>B10+B29+H10+K10+E10+E29+B37</f>
        <v>37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124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16</v>
      </c>
      <c r="I46" s="2" t="s">
        <v>133</v>
      </c>
      <c r="K46" s="13">
        <f>H34</f>
        <v>5</v>
      </c>
      <c r="L46" s="2" t="s">
        <v>55</v>
      </c>
    </row>
    <row r="47" spans="2:12" x14ac:dyDescent="0.25">
      <c r="B47" s="26">
        <f>B8+H8+K8+E8+E36</f>
        <v>100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104</v>
      </c>
      <c r="L47" s="2" t="s">
        <v>44</v>
      </c>
    </row>
    <row r="48" spans="2:12" x14ac:dyDescent="0.25">
      <c r="B48" s="21">
        <f>B13+H13+E13</f>
        <v>3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4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45</v>
      </c>
      <c r="H59" s="21">
        <f>B48</f>
        <v>3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2</v>
      </c>
      <c r="C60" s="2" t="s">
        <v>17</v>
      </c>
      <c r="G60" s="35">
        <f>H60*10</f>
        <v>1240</v>
      </c>
      <c r="H60" s="29">
        <f>K45</f>
        <v>124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500</v>
      </c>
      <c r="H63" s="21">
        <f>B47</f>
        <v>100</v>
      </c>
      <c r="I63" s="2" t="s">
        <v>54</v>
      </c>
      <c r="K63" s="14">
        <f>A27+D27</f>
        <v>0</v>
      </c>
      <c r="L63" s="2" t="s">
        <v>134</v>
      </c>
    </row>
    <row r="64" spans="2:12" x14ac:dyDescent="0.25">
      <c r="B64" s="13">
        <f>B20+H20+E20</f>
        <v>0</v>
      </c>
      <c r="C64" s="2" t="s">
        <v>18</v>
      </c>
      <c r="G64" s="35">
        <f>H64*8</f>
        <v>128</v>
      </c>
      <c r="H64" s="21">
        <f>H46</f>
        <v>16</v>
      </c>
      <c r="I64" s="2" t="s">
        <v>134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5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J8" sqref="J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137</v>
      </c>
      <c r="C1" s="96"/>
      <c r="D1" s="95">
        <f>DATE(2024,1,1)+(Mon!C2-1)*7+2</f>
        <v>45560</v>
      </c>
      <c r="E1" s="95"/>
      <c r="F1" s="95"/>
      <c r="H1" s="63" t="s">
        <v>174</v>
      </c>
      <c r="I1" s="64">
        <f>Mon!D1+49-1</f>
        <v>45606</v>
      </c>
      <c r="K1" s="17" t="s">
        <v>121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6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3</v>
      </c>
      <c r="F4" s="2" t="s">
        <v>41</v>
      </c>
      <c r="H4" s="39">
        <v>2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10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4</v>
      </c>
      <c r="F6" s="2" t="s">
        <v>5</v>
      </c>
      <c r="H6" s="39">
        <v>1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10</v>
      </c>
      <c r="F7" s="2" t="s">
        <v>9</v>
      </c>
      <c r="H7" s="39">
        <v>8</v>
      </c>
      <c r="I7" s="16" t="s">
        <v>6</v>
      </c>
      <c r="K7" s="39">
        <v>7</v>
      </c>
      <c r="L7" s="2" t="s">
        <v>55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21</v>
      </c>
      <c r="I8" s="22" t="s">
        <v>35</v>
      </c>
      <c r="K8" s="39">
        <v>2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41</v>
      </c>
      <c r="F9" s="22" t="s">
        <v>35</v>
      </c>
      <c r="K9" s="39">
        <v>7</v>
      </c>
      <c r="L9" s="2" t="s">
        <v>77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5</v>
      </c>
      <c r="I12" s="2" t="s">
        <v>41</v>
      </c>
      <c r="K12" s="39">
        <f>SUM(K2:K11)</f>
        <v>48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12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12</v>
      </c>
      <c r="F15" s="2" t="s">
        <v>6</v>
      </c>
      <c r="H15" s="39">
        <v>10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183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0</v>
      </c>
      <c r="F17" s="16" t="s">
        <v>7</v>
      </c>
      <c r="G17" s="2"/>
      <c r="H17" s="39">
        <v>0</v>
      </c>
      <c r="I17" s="16" t="s">
        <v>185</v>
      </c>
      <c r="K17" s="39">
        <v>0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32</v>
      </c>
      <c r="F18" s="22" t="s">
        <v>35</v>
      </c>
      <c r="H18" s="39">
        <f>SUM(H12:H17)</f>
        <v>30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8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24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55</v>
      </c>
      <c r="H22" s="39">
        <v>2</v>
      </c>
      <c r="I22" s="28" t="s">
        <v>1</v>
      </c>
    </row>
    <row r="23" spans="2:12" ht="12.75" customHeight="1" thickBot="1" x14ac:dyDescent="0.3">
      <c r="E23" s="39">
        <v>12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4</v>
      </c>
      <c r="F24" s="2" t="s">
        <v>2</v>
      </c>
      <c r="H24" s="17" t="s">
        <v>117</v>
      </c>
      <c r="I24" s="5"/>
      <c r="K24" s="39">
        <v>3</v>
      </c>
      <c r="L24" s="2" t="s">
        <v>55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5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6</v>
      </c>
      <c r="C27" s="22" t="s">
        <v>35</v>
      </c>
      <c r="E27" s="39">
        <v>0</v>
      </c>
      <c r="F27" s="2" t="s">
        <v>183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22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3</v>
      </c>
      <c r="C30" s="2" t="s">
        <v>55</v>
      </c>
      <c r="F30" s="2"/>
      <c r="H30" s="39">
        <v>1</v>
      </c>
      <c r="I30" s="28" t="s">
        <v>44</v>
      </c>
      <c r="K30" s="39">
        <v>2</v>
      </c>
      <c r="L30" s="2" t="s">
        <v>55</v>
      </c>
    </row>
    <row r="31" spans="2:12" ht="12.75" customHeight="1" thickBot="1" x14ac:dyDescent="0.3">
      <c r="B31" s="39">
        <v>0</v>
      </c>
      <c r="C31" s="16" t="s">
        <v>44</v>
      </c>
      <c r="E31" s="30" t="s">
        <v>113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1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25">
      <c r="E34" s="39">
        <v>4</v>
      </c>
      <c r="F34" s="16" t="s">
        <v>2</v>
      </c>
      <c r="I34" s="2"/>
    </row>
    <row r="35" spans="2:12" ht="12.75" customHeight="1" thickBot="1" x14ac:dyDescent="0.3">
      <c r="E35" s="39">
        <f>SUM(E32:E34)</f>
        <v>12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1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12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27</v>
      </c>
      <c r="L42" s="2" t="s">
        <v>9</v>
      </c>
    </row>
    <row r="43" spans="2:12" x14ac:dyDescent="0.25">
      <c r="B43" s="92">
        <f>E5+E13+H5+H13+K3+K16+K16</f>
        <v>60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33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10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21</v>
      </c>
      <c r="L45" s="2" t="s">
        <v>55</v>
      </c>
    </row>
    <row r="46" spans="2:12" x14ac:dyDescent="0.25">
      <c r="B46" s="92">
        <f>E15+E26+H7+H15+K5+K18+K18</f>
        <v>45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15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21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2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150</v>
      </c>
      <c r="H60" s="26">
        <f>B45</f>
        <v>10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225</v>
      </c>
      <c r="H62" s="21">
        <f>B46</f>
        <v>45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E15" sqref="E1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137</v>
      </c>
      <c r="C1" s="96"/>
      <c r="D1" s="95">
        <f>DATE(2024,1,1)+(Mon!C2-1)*7+3</f>
        <v>45561</v>
      </c>
      <c r="E1" s="95"/>
      <c r="F1" s="95"/>
      <c r="G1" s="1"/>
      <c r="H1" s="63" t="s">
        <v>174</v>
      </c>
      <c r="I1" s="64">
        <f>Mon!D1+49-1</f>
        <v>45606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7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0</v>
      </c>
      <c r="B8" s="39">
        <v>10</v>
      </c>
      <c r="C8" s="2" t="s">
        <v>6</v>
      </c>
      <c r="E8" s="39">
        <v>6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0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21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10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4870863235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24</v>
      </c>
      <c r="I15" s="2" t="s">
        <v>29</v>
      </c>
      <c r="L15" s="2"/>
    </row>
    <row r="16" spans="1:12" x14ac:dyDescent="0.25">
      <c r="B16" s="39">
        <v>1</v>
      </c>
      <c r="C16" s="2" t="s">
        <v>184</v>
      </c>
      <c r="H16" s="39">
        <v>1</v>
      </c>
      <c r="I16" s="2" t="s">
        <v>30</v>
      </c>
      <c r="K16" s="2" t="s">
        <v>36</v>
      </c>
      <c r="L16" s="16">
        <v>9338</v>
      </c>
    </row>
    <row r="17" spans="2:10" x14ac:dyDescent="0.25">
      <c r="B17" s="39">
        <v>0</v>
      </c>
      <c r="C17" s="2" t="s">
        <v>183</v>
      </c>
      <c r="H17" s="39">
        <v>1</v>
      </c>
      <c r="I17" s="16" t="s">
        <v>185</v>
      </c>
    </row>
    <row r="18" spans="2:10" x14ac:dyDescent="0.25">
      <c r="B18" s="39">
        <v>0</v>
      </c>
      <c r="C18" s="2" t="s">
        <v>185</v>
      </c>
      <c r="H18" s="39">
        <f>SUM(H15:H17)</f>
        <v>26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190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191</v>
      </c>
      <c r="F27" s="5"/>
    </row>
    <row r="28" spans="2:10" x14ac:dyDescent="0.25">
      <c r="B28" s="44">
        <v>18</v>
      </c>
      <c r="C28" s="2" t="s">
        <v>55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137</v>
      </c>
      <c r="C35" s="96"/>
      <c r="D35" s="95">
        <f>D1</f>
        <v>45561</v>
      </c>
      <c r="E35" s="95"/>
      <c r="F35" s="95"/>
      <c r="H35" s="63" t="s">
        <v>174</v>
      </c>
      <c r="I35" s="64">
        <f>I1</f>
        <v>45606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5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24</v>
      </c>
      <c r="I39" s="2" t="s">
        <v>20</v>
      </c>
      <c r="K39" s="39">
        <v>20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25</v>
      </c>
      <c r="F41" s="2" t="s">
        <v>134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2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23</v>
      </c>
      <c r="I43" s="2" t="s">
        <v>22</v>
      </c>
      <c r="K43" s="39">
        <v>27</v>
      </c>
      <c r="L43" s="2" t="s">
        <v>22</v>
      </c>
    </row>
    <row r="44" spans="1:12" x14ac:dyDescent="0.25">
      <c r="A44">
        <f>ROUNDDOWN(B44/24,0)</f>
        <v>2</v>
      </c>
      <c r="B44" s="39">
        <v>48</v>
      </c>
      <c r="C44" s="2" t="s">
        <v>7</v>
      </c>
      <c r="E44" s="39">
        <f>SUM(E38:E43)</f>
        <v>31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2</v>
      </c>
      <c r="C46" s="2" t="s">
        <v>44</v>
      </c>
      <c r="E46" s="2" t="s">
        <v>36</v>
      </c>
      <c r="F46" s="16">
        <v>4870850363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25</v>
      </c>
      <c r="I47" s="16" t="s">
        <v>28</v>
      </c>
      <c r="K47" s="39">
        <v>43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78</v>
      </c>
      <c r="I48" s="2" t="s">
        <v>35</v>
      </c>
      <c r="K48" s="39">
        <f>SUM(K38:K47)</f>
        <v>105</v>
      </c>
      <c r="L48" s="2" t="s">
        <v>35</v>
      </c>
    </row>
    <row r="49" spans="2:12" ht="15.75" thickBot="1" x14ac:dyDescent="0.3">
      <c r="B49" s="39">
        <v>2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1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8941</v>
      </c>
      <c r="K50" s="2" t="s">
        <v>36</v>
      </c>
      <c r="L50" s="16">
        <v>8979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40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3</v>
      </c>
      <c r="L54" t="s">
        <v>55</v>
      </c>
    </row>
    <row r="55" spans="2:12" x14ac:dyDescent="0.25">
      <c r="B55" s="39">
        <f>SUM(B38:B54)</f>
        <v>77</v>
      </c>
      <c r="C55" s="2" t="s">
        <v>35</v>
      </c>
      <c r="I55" s="4"/>
      <c r="K55" s="39">
        <v>2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5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 t="s">
        <v>189</v>
      </c>
      <c r="L59" s="5"/>
    </row>
    <row r="60" spans="2:12" x14ac:dyDescent="0.25">
      <c r="B60" s="8"/>
      <c r="C60" s="7"/>
      <c r="D60" s="9"/>
      <c r="E60" s="39">
        <f>SUM(E57:E59)</f>
        <v>38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315</v>
      </c>
      <c r="E72" s="36">
        <f t="shared" ref="E72:E81" si="0">K4+H38+K38</f>
        <v>21</v>
      </c>
      <c r="F72" s="2" t="s">
        <v>19</v>
      </c>
      <c r="H72" s="13">
        <f>H4+E38</f>
        <v>2</v>
      </c>
      <c r="I72" s="2" t="s">
        <v>45</v>
      </c>
      <c r="K72" s="47">
        <f>B9+E8+H8+B43+E42</f>
        <v>22</v>
      </c>
      <c r="L72" s="2" t="s">
        <v>9</v>
      </c>
    </row>
    <row r="73" spans="2:12" x14ac:dyDescent="0.25">
      <c r="B73" s="26">
        <f>B5+E5+B39</f>
        <v>34</v>
      </c>
      <c r="C73" s="2" t="s">
        <v>42</v>
      </c>
      <c r="D73" s="35">
        <f t="shared" ref="D73:D79" si="1">E73*15</f>
        <v>825</v>
      </c>
      <c r="E73" s="37">
        <f t="shared" si="0"/>
        <v>55</v>
      </c>
      <c r="F73" s="2" t="s">
        <v>20</v>
      </c>
      <c r="H73" s="47">
        <f>H5+H15+E50+E39+E57</f>
        <v>108</v>
      </c>
      <c r="I73" s="2" t="s">
        <v>46</v>
      </c>
      <c r="K73" s="47">
        <f>B10+E9+H9+B44+E43</f>
        <v>56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10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32</v>
      </c>
      <c r="I75" s="2" t="s">
        <v>133</v>
      </c>
      <c r="K75" s="47">
        <f>B28+K54</f>
        <v>21</v>
      </c>
      <c r="L75" s="2" t="s">
        <v>55</v>
      </c>
    </row>
    <row r="76" spans="2:12" x14ac:dyDescent="0.25">
      <c r="B76" s="26">
        <f>B8+B42</f>
        <v>20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2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550</v>
      </c>
      <c r="E77" s="37">
        <f t="shared" si="0"/>
        <v>55</v>
      </c>
      <c r="F77" s="2" t="s">
        <v>22</v>
      </c>
      <c r="K77" s="47">
        <f>K55</f>
        <v>2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576</v>
      </c>
      <c r="E81" s="37">
        <f t="shared" si="0"/>
        <v>72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1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3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2</v>
      </c>
      <c r="C89" s="2" t="s">
        <v>17</v>
      </c>
      <c r="G89" s="35">
        <f>H89*10</f>
        <v>100</v>
      </c>
      <c r="H89" s="29">
        <f>K74</f>
        <v>10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2</v>
      </c>
      <c r="C92" s="2" t="s">
        <v>13</v>
      </c>
      <c r="G92" s="35">
        <f>H92*5</f>
        <v>100</v>
      </c>
      <c r="H92" s="21">
        <f>B76</f>
        <v>20</v>
      </c>
      <c r="I92" s="2" t="s">
        <v>54</v>
      </c>
      <c r="K92" s="14">
        <f>G7+D41</f>
        <v>1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256</v>
      </c>
      <c r="H93" s="21">
        <f>H75</f>
        <v>32</v>
      </c>
      <c r="I93" s="2" t="s">
        <v>134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D16" sqref="D16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137</v>
      </c>
      <c r="C1" s="96"/>
      <c r="D1" s="95">
        <f>DATE(2024,1,1)+(Mon!C2-1)*7+4</f>
        <v>45562</v>
      </c>
      <c r="E1" s="95"/>
      <c r="F1" s="95"/>
      <c r="H1" s="63" t="s">
        <v>174</v>
      </c>
      <c r="I1" s="64">
        <f>Mon!D1+49-1</f>
        <v>45606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3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3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10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3</v>
      </c>
      <c r="H11" s="39">
        <v>72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69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0</v>
      </c>
      <c r="C16" s="2" t="s">
        <v>184</v>
      </c>
      <c r="E16" s="39">
        <v>1</v>
      </c>
      <c r="F16" s="2" t="s">
        <v>184</v>
      </c>
      <c r="H16" s="39">
        <v>1</v>
      </c>
      <c r="I16" s="2" t="s">
        <v>184</v>
      </c>
      <c r="K16" s="74">
        <v>5</v>
      </c>
      <c r="L16" s="75" t="s">
        <v>44</v>
      </c>
    </row>
    <row r="17" spans="1:15" ht="12.75" customHeight="1" x14ac:dyDescent="0.25">
      <c r="B17" s="39">
        <v>1</v>
      </c>
      <c r="C17" s="2" t="s">
        <v>183</v>
      </c>
      <c r="E17" s="39">
        <v>0</v>
      </c>
      <c r="F17" s="2" t="s">
        <v>183</v>
      </c>
      <c r="H17" s="39">
        <v>1</v>
      </c>
      <c r="I17" s="2" t="s">
        <v>183</v>
      </c>
      <c r="K17" s="76"/>
      <c r="L17" s="75"/>
    </row>
    <row r="18" spans="1:15" ht="12.75" customHeight="1" thickBot="1" x14ac:dyDescent="0.3">
      <c r="B18" s="39">
        <v>0</v>
      </c>
      <c r="C18" s="2" t="s">
        <v>185</v>
      </c>
      <c r="E18" s="39">
        <v>1</v>
      </c>
      <c r="F18" s="2" t="s">
        <v>185</v>
      </c>
      <c r="H18" s="39">
        <v>0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92</v>
      </c>
      <c r="C21" s="22" t="s">
        <v>35</v>
      </c>
      <c r="E21" s="39">
        <f>SUM(E4:E20)</f>
        <v>48</v>
      </c>
      <c r="F21" s="22" t="s">
        <v>35</v>
      </c>
      <c r="H21" s="39">
        <f>SUM(H4:H20)</f>
        <v>114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20</v>
      </c>
      <c r="L25" s="85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185</v>
      </c>
      <c r="K26" s="76"/>
      <c r="L26" s="75"/>
    </row>
    <row r="27" spans="1:15" ht="12.75" customHeight="1" thickBot="1" x14ac:dyDescent="0.3">
      <c r="A27">
        <f>ROUNDDOWN(B27/13,0)</f>
        <v>0</v>
      </c>
      <c r="B27" s="39">
        <v>6</v>
      </c>
      <c r="C27" s="2" t="s">
        <v>134</v>
      </c>
      <c r="D27">
        <f>ROUNDDOWN(E27/13,0)</f>
        <v>1</v>
      </c>
      <c r="E27" s="39">
        <v>15</v>
      </c>
      <c r="F27" s="2" t="s">
        <v>134</v>
      </c>
      <c r="H27" s="39">
        <f>SUM(H24:H26)</f>
        <v>10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5</v>
      </c>
      <c r="F28" s="2" t="s">
        <v>47</v>
      </c>
      <c r="K28" s="74">
        <v>15</v>
      </c>
      <c r="L28" s="85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60</v>
      </c>
      <c r="C30" s="22" t="s">
        <v>35</v>
      </c>
      <c r="E30" s="39">
        <f>SUM(E24:E29)</f>
        <v>39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45</v>
      </c>
      <c r="L31" s="88" t="s">
        <v>44</v>
      </c>
    </row>
    <row r="32" spans="1:15" ht="12.75" customHeight="1" x14ac:dyDescent="0.25">
      <c r="B32" s="2" t="s">
        <v>36</v>
      </c>
      <c r="C32" s="16">
        <v>4870863661</v>
      </c>
      <c r="E32" s="2" t="s">
        <v>36</v>
      </c>
      <c r="F32" s="13">
        <v>4870863849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24</v>
      </c>
      <c r="C35" s="2" t="s">
        <v>52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4</v>
      </c>
      <c r="C37" s="16" t="s">
        <v>7</v>
      </c>
      <c r="D37" s="23"/>
      <c r="E37" s="17" t="s">
        <v>59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28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15</v>
      </c>
      <c r="F39" s="16" t="s">
        <v>54</v>
      </c>
    </row>
    <row r="40" spans="2:15" ht="12.6" customHeight="1" x14ac:dyDescent="0.25">
      <c r="E40" s="11">
        <f>SUM(E38:E39)</f>
        <v>30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48</v>
      </c>
      <c r="L44" s="2" t="s">
        <v>9</v>
      </c>
    </row>
    <row r="45" spans="2:15" x14ac:dyDescent="0.25">
      <c r="B45" s="26">
        <f>B5+E5+K5+H5+N5</f>
        <v>16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40</v>
      </c>
      <c r="I45" s="2" t="s">
        <v>46</v>
      </c>
      <c r="K45" s="47">
        <f>B37+B10+B28+E10+K10+H10+N10+E28</f>
        <v>32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125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21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75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1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1250</v>
      </c>
      <c r="H61" s="29">
        <f>K46</f>
        <v>125</v>
      </c>
      <c r="I61" s="2" t="s">
        <v>8</v>
      </c>
      <c r="K61" s="13">
        <f>A8+D8+G8</f>
        <v>3</v>
      </c>
      <c r="L61" s="2" t="s">
        <v>6</v>
      </c>
    </row>
    <row r="62" spans="2:12" x14ac:dyDescent="0.25">
      <c r="B62" s="13">
        <f>B17+E17+H17</f>
        <v>2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375</v>
      </c>
      <c r="H64" s="21">
        <f>B48</f>
        <v>75</v>
      </c>
      <c r="I64" s="2" t="s">
        <v>54</v>
      </c>
      <c r="K64" s="14">
        <f>A27+D27</f>
        <v>1</v>
      </c>
      <c r="L64" s="2" t="s">
        <v>134</v>
      </c>
    </row>
    <row r="65" spans="2:12" x14ac:dyDescent="0.25">
      <c r="B65" s="13">
        <f>B20+E20+H20</f>
        <v>1</v>
      </c>
      <c r="C65" s="2" t="s">
        <v>18</v>
      </c>
      <c r="G65" s="35">
        <f>H65*8</f>
        <v>168</v>
      </c>
      <c r="H65" s="21">
        <f>H47</f>
        <v>21</v>
      </c>
      <c r="I65" s="2" t="s">
        <v>134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5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9" sqref="E19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141</v>
      </c>
      <c r="B1" s="96"/>
      <c r="C1" s="45">
        <f>Mon!C2+1</f>
        <v>40</v>
      </c>
      <c r="D1" s="46"/>
      <c r="E1" s="46"/>
      <c r="F1" s="63" t="s">
        <v>174</v>
      </c>
      <c r="G1" s="64">
        <f>Mon!D1+49-1</f>
        <v>45606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9</v>
      </c>
      <c r="B6" s="39">
        <v>432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2</v>
      </c>
      <c r="J9" s="39">
        <v>96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15</v>
      </c>
      <c r="B12" s="44">
        <f>SUM(B5:B11)</f>
        <v>720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7</v>
      </c>
      <c r="J12" s="44">
        <f>SUM(J5:J11)</f>
        <v>336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96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144</v>
      </c>
      <c r="B1" s="96"/>
      <c r="C1" s="45">
        <f>Mon!C2</f>
        <v>39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1776</v>
      </c>
      <c r="P3" s="93">
        <f>O3/125</f>
        <v>14.208</v>
      </c>
      <c r="R3" s="51" t="s">
        <v>148</v>
      </c>
      <c r="S3" s="55">
        <f>12*(D8+J4)</f>
        <v>1776</v>
      </c>
      <c r="T3" s="55">
        <f>15*(A4+D4+G4+J7+J5)+20*D12</f>
        <v>8400</v>
      </c>
      <c r="U3" s="55">
        <f>15*(A5+A9+D5+D9+D10+D11+G5+J6+J8+J10)+20*(A8+D13+G7)</f>
        <v>40305</v>
      </c>
      <c r="V3" s="55">
        <f>15*(A6+J11)</f>
        <v>1695</v>
      </c>
      <c r="W3" s="55">
        <f>15*D6</f>
        <v>0</v>
      </c>
      <c r="X3" s="55">
        <f>15*(A7+D7+G6+J9)</f>
        <v>810</v>
      </c>
    </row>
    <row r="4" spans="1:24" ht="12.75" customHeight="1" x14ac:dyDescent="0.25">
      <c r="A4" s="31">
        <f>Mon!B70+Tues!B43+Wed!B42+Thurs!B72+Fri!B44+NFLD!A43</f>
        <v>22</v>
      </c>
      <c r="B4" s="2" t="s">
        <v>41</v>
      </c>
      <c r="C4" s="7"/>
      <c r="D4" s="31">
        <f>Mon!E70+Tues!E43+Wed!E42+Thurs!E72+Fri!E44+NFLD!D43</f>
        <v>35</v>
      </c>
      <c r="E4" s="2" t="s">
        <v>19</v>
      </c>
      <c r="F4" s="7"/>
      <c r="G4" s="31">
        <f>Mon!H70+Tues!H43+Wed!H42+Thurs!H72+Fri!H44+NFLD!G43</f>
        <v>8</v>
      </c>
      <c r="H4" s="2" t="s">
        <v>45</v>
      </c>
      <c r="I4" s="7"/>
      <c r="J4" s="31">
        <f>Mon!K70+Tues!K43+Wed!K42+Thurs!K72+Fri!K44+NFLD!J43</f>
        <v>148</v>
      </c>
      <c r="K4" s="2" t="s">
        <v>9</v>
      </c>
      <c r="M4" s="42"/>
      <c r="N4" s="52" t="s">
        <v>7</v>
      </c>
      <c r="O4" s="53">
        <f>J5*10</f>
        <v>3520</v>
      </c>
      <c r="P4" s="93">
        <f>O4/130</f>
        <v>27.076923076923077</v>
      </c>
      <c r="R4" s="51" t="s">
        <v>149</v>
      </c>
      <c r="S4" s="55">
        <f t="shared" ref="S4:X4" si="0">S3/15</f>
        <v>118.4</v>
      </c>
      <c r="T4" s="55">
        <f t="shared" si="0"/>
        <v>560</v>
      </c>
      <c r="U4" s="55">
        <f t="shared" si="0"/>
        <v>2687</v>
      </c>
      <c r="V4" s="55">
        <f t="shared" si="0"/>
        <v>113</v>
      </c>
      <c r="W4" s="55">
        <f t="shared" si="0"/>
        <v>0</v>
      </c>
      <c r="X4" s="55">
        <f t="shared" si="0"/>
        <v>54</v>
      </c>
    </row>
    <row r="5" spans="1:24" ht="12.75" customHeight="1" x14ac:dyDescent="0.25">
      <c r="A5" s="26">
        <f>Mon!B71+Tues!B44+Wed!B43+Thurs!B73+Fri!B45+NFLD!A44</f>
        <v>143</v>
      </c>
      <c r="B5" s="2" t="s">
        <v>42</v>
      </c>
      <c r="C5" s="24"/>
      <c r="D5" s="26">
        <f>Mon!E71+Tues!E44+Wed!E43+Thurs!E73+Fri!E45+NFLD!D44</f>
        <v>99</v>
      </c>
      <c r="E5" s="2" t="s">
        <v>20</v>
      </c>
      <c r="G5" s="26">
        <f>Mon!H71+Tues!H44+Wed!H43+Thurs!H73+Fri!H45+NFLD!G44</f>
        <v>332</v>
      </c>
      <c r="H5" s="2" t="s">
        <v>46</v>
      </c>
      <c r="J5" s="26">
        <f>Mon!K71+Tues!K44+Wed!K43+Thurs!K73+Fri!K45+NFLD!J44</f>
        <v>352</v>
      </c>
      <c r="K5" s="2" t="s">
        <v>7</v>
      </c>
      <c r="M5" s="42"/>
      <c r="N5" s="52" t="s">
        <v>8</v>
      </c>
      <c r="O5" s="53">
        <f>J6*10</f>
        <v>2830</v>
      </c>
      <c r="P5" s="93">
        <f t="shared" ref="P5:P25" si="1">O5/130</f>
        <v>21.76923076923077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283</v>
      </c>
      <c r="K6" s="2" t="s">
        <v>8</v>
      </c>
      <c r="M6" s="42"/>
      <c r="N6" s="52" t="s">
        <v>55</v>
      </c>
      <c r="O6" s="53">
        <f>J7*15</f>
        <v>2145</v>
      </c>
      <c r="P6" s="93">
        <f>O6/150</f>
        <v>14.3</v>
      </c>
    </row>
    <row r="7" spans="1:24" ht="12.75" customHeight="1" x14ac:dyDescent="0.25">
      <c r="A7" s="26">
        <f>Mon!B73+Tues!B46+Wed!B45+Thurs!B75+Fri!B47+NFLD!A46</f>
        <v>15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95</v>
      </c>
      <c r="H7" s="2" t="s">
        <v>133</v>
      </c>
      <c r="J7" s="26">
        <f>Mon!K73+Tues!K46+Wed!K45+Thurs!K75+Fri!K47+NFLD!J46</f>
        <v>143</v>
      </c>
      <c r="K7" s="2" t="s">
        <v>55</v>
      </c>
      <c r="M7" s="42"/>
      <c r="N7" s="52" t="s">
        <v>44</v>
      </c>
      <c r="O7" s="53">
        <f t="shared" ref="O7" si="2">J8*15</f>
        <v>12630</v>
      </c>
      <c r="P7" s="93">
        <f t="shared" ref="P7:P8" si="3">O7/150</f>
        <v>84.2</v>
      </c>
      <c r="R7" s="12" t="s">
        <v>136</v>
      </c>
      <c r="S7" s="60">
        <f>Mon!C2</f>
        <v>39</v>
      </c>
    </row>
    <row r="8" spans="1:24" ht="12.75" customHeight="1" x14ac:dyDescent="0.25">
      <c r="A8" s="26">
        <f>Mon!B74+Tues!B47+Wed!B46+Thurs!B76+Fri!B48+NFLD!A47</f>
        <v>280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842</v>
      </c>
      <c r="K8" s="2" t="s">
        <v>44</v>
      </c>
      <c r="M8" s="42"/>
      <c r="N8" s="52" t="s">
        <v>2</v>
      </c>
      <c r="O8" s="53">
        <f>J9*15</f>
        <v>315</v>
      </c>
      <c r="P8" s="93">
        <f t="shared" si="3"/>
        <v>2.1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85</v>
      </c>
      <c r="E9" s="2" t="s">
        <v>22</v>
      </c>
      <c r="J9" s="26">
        <f>Mon!K75+Tues!K48+Wed!K47+Thurs!K77+Fri!K49+NFLD!J48</f>
        <v>21</v>
      </c>
      <c r="K9" s="2" t="s">
        <v>2</v>
      </c>
      <c r="M9" s="42"/>
      <c r="N9" s="52" t="s">
        <v>152</v>
      </c>
      <c r="O9" s="53">
        <f>7*(J10+J11)+8*(D12+D13+G7)+5*A9</f>
        <v>4123</v>
      </c>
      <c r="P9" s="93">
        <f>O9/140</f>
        <v>29.45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192</v>
      </c>
      <c r="K10" s="2" t="s">
        <v>1</v>
      </c>
      <c r="M10" s="42"/>
      <c r="N10" s="52" t="s">
        <v>41</v>
      </c>
      <c r="O10" s="53">
        <f>A4*15</f>
        <v>330</v>
      </c>
      <c r="P10" s="93">
        <f>O10/250</f>
        <v>1.32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108</v>
      </c>
      <c r="K11" s="2" t="s">
        <v>0</v>
      </c>
      <c r="M11" s="42"/>
      <c r="N11" s="52" t="s">
        <v>42</v>
      </c>
      <c r="O11" s="53">
        <f t="shared" ref="O11:O12" si="4">A5*15</f>
        <v>2145</v>
      </c>
      <c r="P11" s="93">
        <f t="shared" ref="P11:P13" si="5">O11/250</f>
        <v>8.58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93">
        <f t="shared" si="5"/>
        <v>0.3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156</v>
      </c>
      <c r="E13" s="2" t="s">
        <v>28</v>
      </c>
      <c r="M13" s="42"/>
      <c r="N13" s="52" t="s">
        <v>5</v>
      </c>
      <c r="O13" s="53">
        <f>A7*15</f>
        <v>225</v>
      </c>
      <c r="P13" s="93">
        <f t="shared" si="5"/>
        <v>0.9</v>
      </c>
      <c r="S13" s="59"/>
    </row>
    <row r="14" spans="1:24" ht="12.75" customHeight="1" x14ac:dyDescent="0.25">
      <c r="A14" s="7"/>
      <c r="N14" s="52" t="s">
        <v>157</v>
      </c>
      <c r="O14" s="53">
        <f>5*A9</f>
        <v>15</v>
      </c>
      <c r="P14" s="9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93">
        <f>O15/250</f>
        <v>0.18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120</v>
      </c>
      <c r="P16" s="93">
        <f t="shared" ref="P16:P18" si="6">O16/250</f>
        <v>0.48</v>
      </c>
    </row>
    <row r="17" spans="1:24" ht="12.75" customHeight="1" x14ac:dyDescent="0.25">
      <c r="A17" s="32">
        <f>Mon!B85+Tues!B58+Wed!B57+Thurs!B87+Fri!B59+NFLD!A58</f>
        <v>4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4980</v>
      </c>
      <c r="P17" s="93">
        <f t="shared" si="6"/>
        <v>19.920000000000002</v>
      </c>
    </row>
    <row r="18" spans="1:24" ht="12.75" customHeight="1" x14ac:dyDescent="0.25">
      <c r="A18" s="26">
        <f>Mon!B86+Tues!B59+Wed!B58+Thurs!B88+Fri!B60+NFLD!A59</f>
        <v>11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165</v>
      </c>
      <c r="P18" s="93">
        <f t="shared" si="6"/>
        <v>0.66</v>
      </c>
    </row>
    <row r="19" spans="1:24" ht="12.75" customHeight="1" x14ac:dyDescent="0.25">
      <c r="A19" s="26">
        <f>Mon!B87+Tues!B60+Wed!B59+Thurs!B89+Fri!B61+NFLD!A60</f>
        <v>6</v>
      </c>
      <c r="B19" s="2" t="s">
        <v>17</v>
      </c>
      <c r="D19" s="29">
        <f>J6</f>
        <v>283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158</v>
      </c>
      <c r="O19" s="53">
        <f>8*G7</f>
        <v>760</v>
      </c>
      <c r="P19" s="93">
        <f>O19/50</f>
        <v>15.2</v>
      </c>
    </row>
    <row r="20" spans="1:24" ht="12.75" customHeight="1" x14ac:dyDescent="0.25">
      <c r="A20" s="26">
        <f>Mon!B88+Tues!B61+Wed!B60+Thurs!B90+Fri!B62+NFLD!A61</f>
        <v>4</v>
      </c>
      <c r="B20" s="2" t="s">
        <v>11</v>
      </c>
      <c r="D20" s="26">
        <f>A7</f>
        <v>15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525</v>
      </c>
      <c r="P20" s="93">
        <f>O20/150</f>
        <v>3.5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4</v>
      </c>
      <c r="H21" s="2" t="s">
        <v>46</v>
      </c>
      <c r="N21" s="52" t="s">
        <v>20</v>
      </c>
      <c r="O21" s="53">
        <f t="shared" ref="O21:O23" si="8">15*D5</f>
        <v>1485</v>
      </c>
      <c r="P21" s="93">
        <f t="shared" ref="P21:P23" si="9">O21/150</f>
        <v>9.9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280</v>
      </c>
      <c r="E22" s="2" t="s">
        <v>54</v>
      </c>
      <c r="F22" s="24"/>
      <c r="G22" s="14">
        <f>Mon!K90+Tues!K63+Thurs!K92+Fri!K64</f>
        <v>3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95</v>
      </c>
      <c r="E23" s="2" t="s">
        <v>134</v>
      </c>
      <c r="F23" s="24"/>
      <c r="G23" s="14">
        <f>Mon!K91+Tues!K64+Thurs!K93+Fri!K65</f>
        <v>6</v>
      </c>
      <c r="H23" s="2" t="s">
        <v>7</v>
      </c>
      <c r="N23" s="52" t="s">
        <v>21</v>
      </c>
      <c r="O23" s="53">
        <f t="shared" si="8"/>
        <v>105</v>
      </c>
      <c r="P23" s="93">
        <f t="shared" si="9"/>
        <v>0.7</v>
      </c>
    </row>
    <row r="24" spans="1:24" ht="12.75" customHeight="1" x14ac:dyDescent="0.25">
      <c r="F24" s="24"/>
      <c r="G24" s="14">
        <f>Mon!K92+Tues!K65+Thurs!K94+Fri!K66</f>
        <v>11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850</v>
      </c>
      <c r="P25" s="93">
        <f t="shared" si="1"/>
        <v>6.5384615384615383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1248</v>
      </c>
      <c r="P29" s="93">
        <f>O29/50</f>
        <v>24.96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416</v>
      </c>
      <c r="P32" s="94">
        <f>O32/25-24*(G17+G20+G23)</f>
        <v>-127.36</v>
      </c>
      <c r="R32" s="97" t="s">
        <v>171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1610</v>
      </c>
      <c r="P33" s="94">
        <f>O33/25-24*(G18+G21+G24)-20*G19</f>
        <v>-499.6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233</v>
      </c>
      <c r="P34" s="94">
        <f t="shared" ref="P34:P36" si="10">O34/25</f>
        <v>9.32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113</v>
      </c>
      <c r="P35" s="94">
        <f t="shared" si="10"/>
        <v>4.5199999999999996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54</v>
      </c>
      <c r="P36" s="94">
        <f t="shared" si="10"/>
        <v>2.16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156</v>
      </c>
      <c r="P37" s="94">
        <f>O37/20</f>
        <v>7.8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56</v>
      </c>
      <c r="P38" s="94">
        <f>O38/20-13*G22</f>
        <v>-36.200000000000003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2024-09-26T18:05:35Z</cp:lastPrinted>
  <dcterms:created xsi:type="dcterms:W3CDTF">2014-06-06T13:58:10Z</dcterms:created>
  <dcterms:modified xsi:type="dcterms:W3CDTF">2024-09-27T15:07:32Z</dcterms:modified>
</cp:coreProperties>
</file>