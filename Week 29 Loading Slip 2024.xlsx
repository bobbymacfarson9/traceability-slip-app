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yking Farms\Desktop\2023 Reports\2024 Reports\Loading slips\"/>
    </mc:Choice>
  </mc:AlternateContent>
  <xr:revisionPtr revIDLastSave="0" documentId="13_ncr:1_{9D197919-1232-460F-8C10-916BF7B0B8C8}" xr6:coauthVersionLast="47" xr6:coauthVersionMax="47" xr10:uidLastSave="{00000000-0000-0000-0000-000000000000}"/>
  <bookViews>
    <workbookView xWindow="-120" yWindow="-120" windowWidth="29040" windowHeight="15510" firstSheet="4" activeTab="4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" i="9" l="1"/>
  <c r="G73" i="8"/>
  <c r="G32" i="4"/>
  <c r="G31" i="4"/>
  <c r="G30" i="4"/>
  <c r="J31" i="7"/>
  <c r="G21" i="7"/>
  <c r="J48" i="8"/>
  <c r="J75" i="8"/>
  <c r="C1" i="4"/>
  <c r="G1" i="11" s="1"/>
  <c r="S7" i="12"/>
  <c r="H1" i="4" l="1"/>
  <c r="H34" i="4" s="1"/>
  <c r="H1" i="7"/>
  <c r="H1" i="10"/>
  <c r="H1" i="8"/>
  <c r="H35" i="8" s="1"/>
  <c r="H1" i="9"/>
  <c r="J65" i="9"/>
  <c r="J64" i="9"/>
  <c r="J63" i="9"/>
  <c r="J62" i="9"/>
  <c r="J61" i="9"/>
  <c r="J60" i="9"/>
  <c r="J59" i="9"/>
  <c r="J58" i="9"/>
  <c r="J94" i="8"/>
  <c r="J93" i="8"/>
  <c r="J92" i="8"/>
  <c r="J91" i="8"/>
  <c r="J90" i="8"/>
  <c r="J89" i="8"/>
  <c r="J88" i="8"/>
  <c r="J87" i="8"/>
  <c r="J65" i="7"/>
  <c r="J63" i="7"/>
  <c r="J64" i="7"/>
  <c r="J92" i="4"/>
  <c r="J91" i="4"/>
  <c r="J88" i="4"/>
  <c r="J62" i="7"/>
  <c r="J61" i="7"/>
  <c r="J60" i="7"/>
  <c r="J59" i="7"/>
  <c r="J58" i="7"/>
  <c r="J90" i="4"/>
  <c r="J89" i="4"/>
  <c r="J87" i="4"/>
  <c r="J86" i="4"/>
  <c r="J85" i="4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C1" i="9"/>
  <c r="C1" i="8"/>
  <c r="C35" i="8" s="1"/>
  <c r="C1" i="10"/>
  <c r="C1" i="7"/>
  <c r="J48" i="10"/>
  <c r="C34" i="4"/>
  <c r="J50" i="9"/>
  <c r="J49" i="9"/>
  <c r="J48" i="9"/>
  <c r="J47" i="9"/>
  <c r="J45" i="9"/>
  <c r="G60" i="9" s="1"/>
  <c r="F60" i="9" s="1"/>
  <c r="J44" i="9"/>
  <c r="J43" i="9"/>
  <c r="G46" i="9"/>
  <c r="G64" i="9" s="1"/>
  <c r="F64" i="9" s="1"/>
  <c r="G45" i="9"/>
  <c r="G62" i="9" s="1"/>
  <c r="F62" i="9" s="1"/>
  <c r="G44" i="9"/>
  <c r="G43" i="9"/>
  <c r="A62" i="9"/>
  <c r="A64" i="9"/>
  <c r="A59" i="9"/>
  <c r="A60" i="9"/>
  <c r="A61" i="9"/>
  <c r="A63" i="9"/>
  <c r="A58" i="9"/>
  <c r="A48" i="9"/>
  <c r="G59" i="9" s="1"/>
  <c r="F59" i="9" s="1"/>
  <c r="A47" i="9"/>
  <c r="G63" i="9" s="1"/>
  <c r="F63" i="9" s="1"/>
  <c r="A46" i="9"/>
  <c r="G61" i="9" s="1"/>
  <c r="F61" i="9" s="1"/>
  <c r="A45" i="9"/>
  <c r="G58" i="9" s="1"/>
  <c r="F58" i="9" s="1"/>
  <c r="A44" i="9"/>
  <c r="A43" i="9"/>
  <c r="G63" i="10"/>
  <c r="F63" i="10" s="1"/>
  <c r="G75" i="8"/>
  <c r="G93" i="8" s="1"/>
  <c r="F93" i="8" s="1"/>
  <c r="G46" i="7"/>
  <c r="G64" i="7" s="1"/>
  <c r="F64" i="7" s="1"/>
  <c r="G73" i="4"/>
  <c r="G91" i="4" s="1"/>
  <c r="F91" i="4" s="1"/>
  <c r="J78" i="8"/>
  <c r="G44" i="10"/>
  <c r="G61" i="10" s="1"/>
  <c r="F61" i="10" s="1"/>
  <c r="G43" i="10"/>
  <c r="G42" i="10"/>
  <c r="D35" i="10"/>
  <c r="J47" i="7"/>
  <c r="J74" i="4"/>
  <c r="A70" i="4"/>
  <c r="J74" i="8"/>
  <c r="G89" i="8" s="1"/>
  <c r="F89" i="8" s="1"/>
  <c r="J73" i="8"/>
  <c r="J76" i="8"/>
  <c r="J72" i="8"/>
  <c r="A91" i="8"/>
  <c r="A90" i="8"/>
  <c r="A93" i="8"/>
  <c r="A88" i="8"/>
  <c r="A89" i="8"/>
  <c r="A92" i="8"/>
  <c r="A87" i="8"/>
  <c r="G74" i="8"/>
  <c r="G91" i="8" s="1"/>
  <c r="F91" i="8" s="1"/>
  <c r="G72" i="8"/>
  <c r="D81" i="8"/>
  <c r="D80" i="8"/>
  <c r="C80" i="8" s="1"/>
  <c r="D79" i="8"/>
  <c r="C79" i="8" s="1"/>
  <c r="D78" i="8"/>
  <c r="C78" i="8" s="1"/>
  <c r="D77" i="8"/>
  <c r="C77" i="8" s="1"/>
  <c r="D76" i="8"/>
  <c r="C76" i="8" s="1"/>
  <c r="D75" i="8"/>
  <c r="C75" i="8" s="1"/>
  <c r="D74" i="8"/>
  <c r="C74" i="8" s="1"/>
  <c r="D73" i="8"/>
  <c r="C73" i="8" s="1"/>
  <c r="D72" i="8"/>
  <c r="C72" i="8" s="1"/>
  <c r="A77" i="8"/>
  <c r="G88" i="8" s="1"/>
  <c r="F88" i="8" s="1"/>
  <c r="A76" i="8"/>
  <c r="G92" i="8" s="1"/>
  <c r="F92" i="8" s="1"/>
  <c r="A75" i="8"/>
  <c r="G90" i="8" s="1"/>
  <c r="F90" i="8" s="1"/>
  <c r="A74" i="8"/>
  <c r="G87" i="8" s="1"/>
  <c r="F87" i="8" s="1"/>
  <c r="A73" i="8"/>
  <c r="A72" i="8"/>
  <c r="G58" i="10"/>
  <c r="F58" i="10" s="1"/>
  <c r="G59" i="10"/>
  <c r="F59" i="10" s="1"/>
  <c r="J49" i="10"/>
  <c r="J47" i="10"/>
  <c r="J46" i="10"/>
  <c r="J45" i="10"/>
  <c r="J43" i="10"/>
  <c r="J42" i="10"/>
  <c r="G57" i="10"/>
  <c r="F57" i="10" s="1"/>
  <c r="A60" i="10"/>
  <c r="A61" i="10"/>
  <c r="A46" i="10"/>
  <c r="G62" i="10" s="1"/>
  <c r="F62" i="10" s="1"/>
  <c r="A45" i="10"/>
  <c r="G60" i="10" s="1"/>
  <c r="F60" i="10" s="1"/>
  <c r="A43" i="10"/>
  <c r="A42" i="10"/>
  <c r="C52" i="9"/>
  <c r="C51" i="9"/>
  <c r="C50" i="9"/>
  <c r="C49" i="9"/>
  <c r="C48" i="9"/>
  <c r="C47" i="9"/>
  <c r="C46" i="9"/>
  <c r="C45" i="9"/>
  <c r="C44" i="9"/>
  <c r="C43" i="9"/>
  <c r="C81" i="8"/>
  <c r="C51" i="10"/>
  <c r="C50" i="10"/>
  <c r="C49" i="10"/>
  <c r="C48" i="10"/>
  <c r="C47" i="10"/>
  <c r="C46" i="10"/>
  <c r="C45" i="10"/>
  <c r="C44" i="10"/>
  <c r="C43" i="10"/>
  <c r="C42" i="10"/>
  <c r="C47" i="7"/>
  <c r="C48" i="7"/>
  <c r="C43" i="7"/>
  <c r="C52" i="7"/>
  <c r="C51" i="7"/>
  <c r="C50" i="7"/>
  <c r="C49" i="7"/>
  <c r="C46" i="7"/>
  <c r="C45" i="7"/>
  <c r="C44" i="7"/>
  <c r="A48" i="7"/>
  <c r="G59" i="7" s="1"/>
  <c r="F59" i="7" s="1"/>
  <c r="J49" i="7"/>
  <c r="J48" i="7"/>
  <c r="J46" i="7"/>
  <c r="J45" i="7"/>
  <c r="G60" i="7" s="1"/>
  <c r="F60" i="7" s="1"/>
  <c r="J44" i="7"/>
  <c r="J43" i="7"/>
  <c r="G45" i="7"/>
  <c r="G62" i="7" s="1"/>
  <c r="F62" i="7" s="1"/>
  <c r="G44" i="7"/>
  <c r="G43" i="7"/>
  <c r="A62" i="7"/>
  <c r="A59" i="7"/>
  <c r="A60" i="7"/>
  <c r="A61" i="7"/>
  <c r="A63" i="7"/>
  <c r="A64" i="7"/>
  <c r="A58" i="7"/>
  <c r="A75" i="4"/>
  <c r="G86" i="4" s="1"/>
  <c r="F86" i="4" s="1"/>
  <c r="A47" i="7"/>
  <c r="G63" i="7" s="1"/>
  <c r="F63" i="7" s="1"/>
  <c r="A44" i="7"/>
  <c r="A45" i="7"/>
  <c r="G58" i="7" s="1"/>
  <c r="F58" i="7" s="1"/>
  <c r="A46" i="7"/>
  <c r="G61" i="7" s="1"/>
  <c r="F61" i="7" s="1"/>
  <c r="A43" i="7"/>
  <c r="J77" i="4"/>
  <c r="J76" i="4"/>
  <c r="J72" i="4"/>
  <c r="G87" i="4" s="1"/>
  <c r="F87" i="4" s="1"/>
  <c r="J71" i="4"/>
  <c r="J70" i="4"/>
  <c r="G59" i="4"/>
  <c r="G72" i="4"/>
  <c r="G89" i="4" s="1"/>
  <c r="F89" i="4" s="1"/>
  <c r="G71" i="4"/>
  <c r="G70" i="4"/>
  <c r="D75" i="4"/>
  <c r="C75" i="4" s="1"/>
  <c r="D71" i="4"/>
  <c r="C71" i="4" s="1"/>
  <c r="D72" i="4"/>
  <c r="C72" i="4" s="1"/>
  <c r="D73" i="4"/>
  <c r="C73" i="4" s="1"/>
  <c r="D74" i="4"/>
  <c r="C74" i="4" s="1"/>
  <c r="D76" i="4"/>
  <c r="C76" i="4" s="1"/>
  <c r="D77" i="4"/>
  <c r="C77" i="4" s="1"/>
  <c r="D78" i="4"/>
  <c r="C78" i="4" s="1"/>
  <c r="D79" i="4"/>
  <c r="C79" i="4" s="1"/>
  <c r="D70" i="4"/>
  <c r="C70" i="4" s="1"/>
  <c r="A89" i="4"/>
  <c r="A86" i="4"/>
  <c r="A87" i="4"/>
  <c r="A88" i="4"/>
  <c r="A90" i="4"/>
  <c r="A91" i="4"/>
  <c r="A85" i="4"/>
  <c r="A73" i="4"/>
  <c r="G88" i="4" s="1"/>
  <c r="F88" i="4" s="1"/>
  <c r="A74" i="4"/>
  <c r="G90" i="4" s="1"/>
  <c r="F90" i="4" s="1"/>
  <c r="A71" i="4"/>
  <c r="A72" i="4"/>
  <c r="G85" i="4" s="1"/>
  <c r="F85" i="4" s="1"/>
  <c r="J38" i="10"/>
  <c r="J21" i="10"/>
  <c r="J27" i="10"/>
  <c r="J33" i="10"/>
  <c r="J12" i="10"/>
  <c r="G27" i="10"/>
  <c r="G18" i="10"/>
  <c r="G8" i="10"/>
  <c r="D29" i="10"/>
  <c r="D18" i="10"/>
  <c r="A32" i="10"/>
  <c r="A27" i="10"/>
  <c r="D9" i="10"/>
  <c r="M13" i="9"/>
  <c r="D21" i="9"/>
  <c r="F40" i="9"/>
  <c r="D30" i="9"/>
  <c r="A38" i="9"/>
  <c r="G27" i="9"/>
  <c r="G21" i="9"/>
  <c r="A21" i="9"/>
  <c r="G37" i="9"/>
  <c r="J13" i="9"/>
  <c r="A30" i="9"/>
  <c r="J14" i="8"/>
  <c r="D11" i="8"/>
  <c r="A21" i="8"/>
  <c r="G18" i="8"/>
  <c r="G10" i="8"/>
  <c r="D60" i="8"/>
  <c r="A55" i="8"/>
  <c r="D44" i="8"/>
  <c r="G48" i="8"/>
  <c r="D53" i="8"/>
  <c r="D31" i="7"/>
  <c r="J13" i="7"/>
  <c r="G28" i="7"/>
  <c r="G36" i="7"/>
  <c r="D21" i="7"/>
  <c r="D11" i="4"/>
  <c r="A31" i="7"/>
  <c r="D38" i="7"/>
  <c r="A39" i="7"/>
  <c r="A21" i="7"/>
  <c r="G15" i="4"/>
  <c r="D19" i="4"/>
  <c r="A33" i="4"/>
  <c r="A22" i="4"/>
  <c r="G47" i="4"/>
  <c r="D62" i="4"/>
  <c r="D56" i="4"/>
  <c r="D47" i="4"/>
  <c r="A54" i="4"/>
  <c r="J9" i="12" l="1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J6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D19" i="12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<sst xmlns="http://schemas.openxmlformats.org/spreadsheetml/2006/main" count="1132" uniqueCount="195">
  <si>
    <t>Ship Date:</t>
  </si>
  <si>
    <t>BBD</t>
  </si>
  <si>
    <t>NORTHSIDE</t>
  </si>
  <si>
    <t>Week</t>
  </si>
  <si>
    <t>4. Sobeys - North Sydney</t>
  </si>
  <si>
    <t>6.Superstore - North Sydney</t>
  </si>
  <si>
    <t>7. WalMart - North Sydney</t>
  </si>
  <si>
    <t>OC Xlg</t>
  </si>
  <si>
    <t>Lob Xlg</t>
  </si>
  <si>
    <t>Wal GV Xlrg</t>
  </si>
  <si>
    <t>OC Lg</t>
  </si>
  <si>
    <t>Lob Lg</t>
  </si>
  <si>
    <t>Wal GV Lg</t>
  </si>
  <si>
    <t>OC Med</t>
  </si>
  <si>
    <t>Lob br</t>
  </si>
  <si>
    <t>Wal Nova Xlg Brn</t>
  </si>
  <si>
    <t>OC Br</t>
  </si>
  <si>
    <t>Lob 30 Lg</t>
  </si>
  <si>
    <t>Wal Nova Brn</t>
  </si>
  <si>
    <t>OC 30 Lrg</t>
  </si>
  <si>
    <t>ED Jumbo</t>
  </si>
  <si>
    <t>Nova Jumbo</t>
  </si>
  <si>
    <t>ED Jum</t>
  </si>
  <si>
    <t>ED 18 XL</t>
  </si>
  <si>
    <t>Wal Nova 18's Lg</t>
  </si>
  <si>
    <t>Box Total</t>
  </si>
  <si>
    <t>All Grain Nova</t>
  </si>
  <si>
    <t>ED 18 LG</t>
  </si>
  <si>
    <t>Nova 6 Pack</t>
  </si>
  <si>
    <t>Eyk Lg</t>
  </si>
  <si>
    <t>PO#</t>
  </si>
  <si>
    <t>XLrg 30 pack Nova</t>
  </si>
  <si>
    <t xml:space="preserve">OC Lg Cozy Coop </t>
  </si>
  <si>
    <t>Lrg 30 pack Nova</t>
  </si>
  <si>
    <t>OC Org F.Rng (B)</t>
  </si>
  <si>
    <t>9. Shoppers - North Sydney</t>
  </si>
  <si>
    <t>OC Lg Free Run (W)</t>
  </si>
  <si>
    <t>Lob Lrg</t>
  </si>
  <si>
    <t xml:space="preserve">OC Om3 Free Run (W) </t>
  </si>
  <si>
    <t>MP Om3 6pk (W)</t>
  </si>
  <si>
    <t>MP Om 12pk (W)</t>
  </si>
  <si>
    <t>MP Om3 12pk (W)</t>
  </si>
  <si>
    <t>MP Free Run (B)</t>
  </si>
  <si>
    <t>MP Coldspring F.Rng (B)</t>
  </si>
  <si>
    <t>1. Harbour View</t>
  </si>
  <si>
    <t>8. Northside Guest Home</t>
  </si>
  <si>
    <t>Lg Loose</t>
  </si>
  <si>
    <t>2. Miners Manor</t>
  </si>
  <si>
    <t>16. Sexton's Pharmasave</t>
  </si>
  <si>
    <t>5.Foodland - Sydney Mines</t>
  </si>
  <si>
    <t>OC xlg</t>
  </si>
  <si>
    <t>OC lrg</t>
  </si>
  <si>
    <t>3. Northside General</t>
  </si>
  <si>
    <t>Med Loose</t>
  </si>
  <si>
    <t>**Small Stops**</t>
  </si>
  <si>
    <t>SYDNEY</t>
  </si>
  <si>
    <t>10. Sobeys - Syd. River</t>
  </si>
  <si>
    <t>11. WalMart - Syd. River</t>
  </si>
  <si>
    <t>15. WalMart - Spar Rd.</t>
  </si>
  <si>
    <t>12. Shoppers - Syd. River</t>
  </si>
  <si>
    <t>14.Colbourne - No Frills</t>
  </si>
  <si>
    <t>Lob xlg</t>
  </si>
  <si>
    <t>Lob lg</t>
  </si>
  <si>
    <t>Lob Br</t>
  </si>
  <si>
    <t>13. Shoppers - Prince St.</t>
  </si>
  <si>
    <t>ED18 XL</t>
  </si>
  <si>
    <t>DAILY TOTALS</t>
  </si>
  <si>
    <t>Our Compliments</t>
  </si>
  <si>
    <t>pcs</t>
  </si>
  <si>
    <t>Walmart</t>
  </si>
  <si>
    <t>Loblaws</t>
  </si>
  <si>
    <t>Eyking</t>
  </si>
  <si>
    <t>Eyk Xlg</t>
  </si>
  <si>
    <t>Eyk Br</t>
  </si>
  <si>
    <t>Specialty</t>
  </si>
  <si>
    <t>Small Tally</t>
  </si>
  <si>
    <t>QTY</t>
  </si>
  <si>
    <t>Carts</t>
  </si>
  <si>
    <t xml:space="preserve">OC Om Free Run (W) </t>
  </si>
  <si>
    <t>MP Om 6pk (W)</t>
  </si>
  <si>
    <t>OC 30 Lg</t>
  </si>
  <si>
    <t>2. Sobeys - Prince Street</t>
  </si>
  <si>
    <t>7. Sobeys - New Waterford</t>
  </si>
  <si>
    <t>12. Sobeys - Glace Bay</t>
  </si>
  <si>
    <t>9. Foodland - Glace Bay</t>
  </si>
  <si>
    <t>6. Pier Pharmasave</t>
  </si>
  <si>
    <t>8. Dominion Pharmasave</t>
  </si>
  <si>
    <t>16. Meadows Pharmasave</t>
  </si>
  <si>
    <t>5.Superstore - Syd. River</t>
  </si>
  <si>
    <t>13.Superstore - Glace Bay</t>
  </si>
  <si>
    <t>10. Shoppers -  Glace Bay</t>
  </si>
  <si>
    <t>11. Medical Hall Pharmasave</t>
  </si>
  <si>
    <t xml:space="preserve">Eyk Brn </t>
  </si>
  <si>
    <t>ED XL 18</t>
  </si>
  <si>
    <t>4. McIllvary Guest Home</t>
  </si>
  <si>
    <t>**Pharmasave Total**</t>
  </si>
  <si>
    <t>14. Master Meats</t>
  </si>
  <si>
    <t>1. Giant Tiger</t>
  </si>
  <si>
    <t>3. TRA</t>
  </si>
  <si>
    <t>Eyk Lrg</t>
  </si>
  <si>
    <t>15. Loaves and Fishes</t>
  </si>
  <si>
    <t>Lob 30</t>
  </si>
  <si>
    <t>21. Cheticamp Co-op</t>
  </si>
  <si>
    <t>1. Cedar House</t>
  </si>
  <si>
    <t>3. Victoria Farmers - Co-op</t>
  </si>
  <si>
    <t>14. Port Hood Co-op</t>
  </si>
  <si>
    <t>2. Alderwood Rest Home</t>
  </si>
  <si>
    <t>4. Julia's Bakery</t>
  </si>
  <si>
    <t>11. Whycocomagh Co-op</t>
  </si>
  <si>
    <t>16. Shean Co-op</t>
  </si>
  <si>
    <t>5. Telegraph House</t>
  </si>
  <si>
    <t>24. Margaree Co-op</t>
  </si>
  <si>
    <t>6. Bean There Café</t>
  </si>
  <si>
    <t>7. Gisele's Inn</t>
  </si>
  <si>
    <t>8. From Billy Bistro &amp; Pub</t>
  </si>
  <si>
    <t>12. Mabou Freshmart</t>
  </si>
  <si>
    <t>15. Coal Miners Café</t>
  </si>
  <si>
    <t>23. Lemoines Co-op</t>
  </si>
  <si>
    <t>9. Farmers Daughter</t>
  </si>
  <si>
    <t>17. Inverness Pantry</t>
  </si>
  <si>
    <t>10. McKeigans Pharmacy</t>
  </si>
  <si>
    <t>18. Lawrence's Store</t>
  </si>
  <si>
    <t>22. LeBlancs General Store</t>
  </si>
  <si>
    <t xml:space="preserve">Eyk Lg </t>
  </si>
  <si>
    <t>13. Cabot Trail Food</t>
  </si>
  <si>
    <t>19. Duck Cove Inn</t>
  </si>
  <si>
    <t>Log Lg</t>
  </si>
  <si>
    <t>20. Doucette's Inn</t>
  </si>
  <si>
    <t>25. Stone's Drug Store</t>
  </si>
  <si>
    <t>1. Sobeys - North Sydney</t>
  </si>
  <si>
    <t>3. Foodland - Sydney Mines</t>
  </si>
  <si>
    <t>4. Superstore - North Sydney</t>
  </si>
  <si>
    <t>5. WalMart - North Sydney</t>
  </si>
  <si>
    <t>7. Shoppers - North Sydney</t>
  </si>
  <si>
    <t>2. Nala's</t>
  </si>
  <si>
    <t>15. Janes</t>
  </si>
  <si>
    <t>6. Bonnar's Meats</t>
  </si>
  <si>
    <t>16. Bras D'or View</t>
  </si>
  <si>
    <t>8. Sobeys - Syd. River</t>
  </si>
  <si>
    <t>12.Colbourne - No Frills</t>
  </si>
  <si>
    <t>9. WalMart - Syd. River</t>
  </si>
  <si>
    <t>13. WalMart - Spar Rd.</t>
  </si>
  <si>
    <t>11. Shoppers - Prince St.</t>
  </si>
  <si>
    <t>14. Not Just Cakes</t>
  </si>
  <si>
    <t>10. Shoppers - Syd. River</t>
  </si>
  <si>
    <t>8. Sobeys - New Waterford</t>
  </si>
  <si>
    <t>15. Sobeys - Glace Bay</t>
  </si>
  <si>
    <t>12. Foodland - Glace Bay</t>
  </si>
  <si>
    <t>17. Eskasoni</t>
  </si>
  <si>
    <t xml:space="preserve">F.John Lg </t>
  </si>
  <si>
    <t>MP Om 12</t>
  </si>
  <si>
    <t>9. Midtown Pharmasave</t>
  </si>
  <si>
    <t>MP Coldspring</t>
  </si>
  <si>
    <t>10. Dominion Pharmasave</t>
  </si>
  <si>
    <t>16. Superstore - Glace Bay</t>
  </si>
  <si>
    <t>13. Shoppers -  Glace Bay</t>
  </si>
  <si>
    <t>14. Medical Hall Pharm.</t>
  </si>
  <si>
    <t>18. Meadows Pharmasave</t>
  </si>
  <si>
    <t>3. Mira Ferry Market</t>
  </si>
  <si>
    <t>7. Omni Foods</t>
  </si>
  <si>
    <t>11. Seaview Manor</t>
  </si>
  <si>
    <t>4. TRA</t>
  </si>
  <si>
    <t>Ship Week:</t>
  </si>
  <si>
    <t>Pallets</t>
  </si>
  <si>
    <t>Atlantic Grocery</t>
  </si>
  <si>
    <t>Fowlows</t>
  </si>
  <si>
    <t>Focenco</t>
  </si>
  <si>
    <t>Week Prepared:</t>
  </si>
  <si>
    <t>WEEKLY PACKAGING USE</t>
  </si>
  <si>
    <t>WEEKLY TOTAL EGG SALES</t>
  </si>
  <si>
    <t>Carton Type</t>
  </si>
  <si>
    <t>Pcs</t>
  </si>
  <si>
    <t>Bundles</t>
  </si>
  <si>
    <t>Jum</t>
  </si>
  <si>
    <t>Xlg</t>
  </si>
  <si>
    <t>Lg</t>
  </si>
  <si>
    <t>Med</t>
  </si>
  <si>
    <t>Xlg Br</t>
  </si>
  <si>
    <t>Lg Br</t>
  </si>
  <si>
    <t>Dozens</t>
  </si>
  <si>
    <t>Stacks</t>
  </si>
  <si>
    <t>Filler Flats</t>
  </si>
  <si>
    <t>OC 30 Lrg Sleeve</t>
  </si>
  <si>
    <t>Lob 30 Sleeve</t>
  </si>
  <si>
    <t>XLrg 30 pack Nova Sleeve</t>
  </si>
  <si>
    <t>Lrg 30 pack Nova Sleeve</t>
  </si>
  <si>
    <t>Boxe Type</t>
  </si>
  <si>
    <t>Blue</t>
  </si>
  <si>
    <t>*box usage generally accounts for carts, but does not account if stores order a cart + boxes in the same order or if we run out of carts and have to pack carts into boxes</t>
  </si>
  <si>
    <t>Red</t>
  </si>
  <si>
    <t>Black</t>
  </si>
  <si>
    <t>Green</t>
  </si>
  <si>
    <t>Brown</t>
  </si>
  <si>
    <t>Nova Wide</t>
  </si>
  <si>
    <t>Lob 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</si>
</sst>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3" borderId="19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1" fillId="0" borderId="20" xfId="0" applyFont="1" applyBorder="1" applyAlignment="1">
      <alignment horizontal="center"/>
    </xf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336"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K92"/>
  <sheetViews>
    <sheetView view="pageLayout" zoomScale="70" zoomScaleNormal="100" zoomScalePageLayoutView="70" workbookViewId="0">
      <selection activeCell="H25" sqref="H25"/>
    </sheetView>
  </sheetViews>
  <sheetFormatPr defaultRowHeight="15"/>
  <cols>
    <col min="1" max="1" width="6.42578125" customWidth="1"/>
    <col min="2" max="2" width="19.5703125" customWidth="1"/>
    <col min="3" max="3" width="7.85546875" customWidth="1"/>
    <col min="4" max="4" width="5" customWidth="1"/>
    <col min="5" max="5" width="21.7109375" customWidth="1"/>
    <col min="6" max="6" width="8.140625" customWidth="1"/>
    <col min="7" max="7" width="5.5703125" customWidth="1"/>
    <col min="8" max="8" width="17.28515625" customWidth="1"/>
    <col min="9" max="9" width="4.42578125" customWidth="1"/>
    <col min="10" max="10" width="5.140625" customWidth="1"/>
    <col min="11" max="11" width="16.85546875" customWidth="1"/>
  </cols>
  <sheetData>
    <row r="1" spans="1:11" ht="21.75" thickBot="1">
      <c r="A1" s="92" t="s">
        <v>0</v>
      </c>
      <c r="B1" s="92"/>
      <c r="C1" s="91">
        <f>DATE(2024,1,1)+(B2-1)*7</f>
        <v>45488</v>
      </c>
      <c r="D1" s="92"/>
      <c r="E1" s="92"/>
      <c r="G1" s="63" t="s">
        <v>1</v>
      </c>
      <c r="H1" s="64">
        <f>C1+42-1</f>
        <v>45529</v>
      </c>
      <c r="K1" s="19" t="s">
        <v>2</v>
      </c>
    </row>
    <row r="2" spans="1:11" ht="15.75">
      <c r="A2" s="41" t="s">
        <v>3</v>
      </c>
      <c r="B2" s="50">
        <v>29</v>
      </c>
    </row>
    <row r="4" spans="1:11" ht="15.75" thickBot="1">
      <c r="A4" s="17" t="s">
        <v>4</v>
      </c>
      <c r="B4" s="17"/>
      <c r="D4" s="20" t="s">
        <v>5</v>
      </c>
      <c r="E4" s="5"/>
      <c r="G4" s="20" t="s">
        <v>6</v>
      </c>
      <c r="H4" s="5"/>
    </row>
    <row r="5" spans="1:11">
      <c r="A5" s="39">
        <v>1</v>
      </c>
      <c r="B5" s="2" t="s">
        <v>7</v>
      </c>
      <c r="D5" s="39">
        <v>0</v>
      </c>
      <c r="E5" s="2" t="s">
        <v>8</v>
      </c>
      <c r="G5" s="39">
        <v>4</v>
      </c>
      <c r="H5" s="2" t="s">
        <v>9</v>
      </c>
    </row>
    <row r="6" spans="1:11">
      <c r="A6" s="39">
        <v>0</v>
      </c>
      <c r="B6" s="2" t="s">
        <v>10</v>
      </c>
      <c r="D6" s="39">
        <v>8</v>
      </c>
      <c r="E6" s="2" t="s">
        <v>11</v>
      </c>
      <c r="G6" s="39">
        <v>6</v>
      </c>
      <c r="H6" s="2" t="s">
        <v>12</v>
      </c>
    </row>
    <row r="7" spans="1:11">
      <c r="A7" s="39">
        <v>1</v>
      </c>
      <c r="B7" s="2" t="s">
        <v>13</v>
      </c>
      <c r="D7" s="39">
        <v>0</v>
      </c>
      <c r="E7" s="2" t="s">
        <v>14</v>
      </c>
      <c r="G7" s="39">
        <v>0</v>
      </c>
      <c r="H7" s="2" t="s">
        <v>15</v>
      </c>
    </row>
    <row r="8" spans="1:11">
      <c r="A8" s="39">
        <v>1</v>
      </c>
      <c r="B8" s="2" t="s">
        <v>16</v>
      </c>
      <c r="D8" s="39">
        <v>5</v>
      </c>
      <c r="E8" s="2" t="s">
        <v>17</v>
      </c>
      <c r="G8" s="39">
        <v>0</v>
      </c>
      <c r="H8" s="2" t="s">
        <v>18</v>
      </c>
    </row>
    <row r="9" spans="1:11">
      <c r="A9" s="39">
        <v>20</v>
      </c>
      <c r="B9" s="2" t="s">
        <v>19</v>
      </c>
      <c r="D9" s="39">
        <v>6</v>
      </c>
      <c r="E9" s="2" t="s">
        <v>20</v>
      </c>
      <c r="G9" s="39">
        <v>0</v>
      </c>
      <c r="H9" s="2" t="s">
        <v>21</v>
      </c>
    </row>
    <row r="10" spans="1:11">
      <c r="A10" s="39">
        <v>5</v>
      </c>
      <c r="B10" s="2" t="s">
        <v>22</v>
      </c>
      <c r="D10" s="39">
        <v>15</v>
      </c>
      <c r="E10" s="16" t="s">
        <v>23</v>
      </c>
      <c r="G10" s="39">
        <v>4</v>
      </c>
      <c r="H10" s="2" t="s">
        <v>24</v>
      </c>
    </row>
    <row r="11" spans="1:11">
      <c r="A11" s="39">
        <v>6</v>
      </c>
      <c r="B11" s="2" t="s">
        <v>23</v>
      </c>
      <c r="D11" s="39">
        <f>SUM(D5:D10)</f>
        <v>34</v>
      </c>
      <c r="E11" s="2" t="s">
        <v>25</v>
      </c>
      <c r="G11" s="39">
        <v>0</v>
      </c>
      <c r="H11" s="2" t="s">
        <v>26</v>
      </c>
    </row>
    <row r="12" spans="1:11">
      <c r="A12" s="39">
        <v>4</v>
      </c>
      <c r="B12" s="2" t="s">
        <v>27</v>
      </c>
      <c r="G12" s="39">
        <v>0</v>
      </c>
      <c r="H12" s="2" t="s">
        <v>28</v>
      </c>
    </row>
    <row r="13" spans="1:11">
      <c r="A13" s="39">
        <v>0</v>
      </c>
      <c r="B13" s="2" t="s">
        <v>29</v>
      </c>
      <c r="D13" s="2" t="s">
        <v>30</v>
      </c>
      <c r="E13" s="16">
        <v>4869318042</v>
      </c>
      <c r="G13" s="39">
        <v>2</v>
      </c>
      <c r="H13" s="2" t="s">
        <v>31</v>
      </c>
    </row>
    <row r="14" spans="1:11">
      <c r="A14" s="39">
        <v>1</v>
      </c>
      <c r="B14" s="2" t="s">
        <v>32</v>
      </c>
      <c r="G14" s="39">
        <v>3</v>
      </c>
      <c r="H14" s="16" t="s">
        <v>33</v>
      </c>
    </row>
    <row r="15" spans="1:11" ht="15.75" thickBot="1">
      <c r="A15" s="39">
        <v>0</v>
      </c>
      <c r="B15" s="2" t="s">
        <v>34</v>
      </c>
      <c r="D15" s="17" t="s">
        <v>35</v>
      </c>
      <c r="E15" s="17"/>
      <c r="G15" s="39">
        <f>SUM(G5:G14)</f>
        <v>19</v>
      </c>
      <c r="H15" s="2" t="s">
        <v>25</v>
      </c>
    </row>
    <row r="16" spans="1:11">
      <c r="A16" s="39">
        <v>1</v>
      </c>
      <c r="B16" s="2" t="s">
        <v>36</v>
      </c>
      <c r="D16" s="39">
        <v>24</v>
      </c>
      <c r="E16" s="2" t="s">
        <v>37</v>
      </c>
      <c r="F16" s="3"/>
      <c r="H16" s="2"/>
    </row>
    <row r="17" spans="1:9">
      <c r="A17" s="39">
        <v>0</v>
      </c>
      <c r="B17" s="2" t="s">
        <v>38</v>
      </c>
      <c r="D17" s="39">
        <v>0</v>
      </c>
      <c r="E17" s="2" t="s">
        <v>14</v>
      </c>
      <c r="G17" s="2" t="s">
        <v>30</v>
      </c>
      <c r="H17" s="16">
        <v>8517</v>
      </c>
    </row>
    <row r="18" spans="1:9">
      <c r="A18" s="39">
        <v>0</v>
      </c>
      <c r="B18" s="2" t="s">
        <v>39</v>
      </c>
      <c r="D18" s="39">
        <v>0</v>
      </c>
      <c r="E18" s="16" t="s">
        <v>40</v>
      </c>
    </row>
    <row r="19" spans="1:9">
      <c r="A19" s="39">
        <v>0</v>
      </c>
      <c r="B19" s="2" t="s">
        <v>41</v>
      </c>
      <c r="D19" s="39">
        <f>SUM(D16:D18)</f>
        <v>24</v>
      </c>
      <c r="E19" s="2" t="s">
        <v>25</v>
      </c>
      <c r="I19" s="4"/>
    </row>
    <row r="20" spans="1:9">
      <c r="A20" s="39">
        <v>0</v>
      </c>
      <c r="B20" s="2" t="s">
        <v>42</v>
      </c>
      <c r="I20" s="4"/>
    </row>
    <row r="21" spans="1:9" ht="15.75" thickBot="1">
      <c r="A21" s="39">
        <v>0</v>
      </c>
      <c r="B21" s="16" t="s">
        <v>43</v>
      </c>
      <c r="D21" s="69" t="s">
        <v>44</v>
      </c>
      <c r="E21" s="70"/>
      <c r="F21" s="71"/>
      <c r="G21" s="72" t="s">
        <v>45</v>
      </c>
      <c r="H21" s="73"/>
    </row>
    <row r="22" spans="1:9">
      <c r="A22" s="39">
        <f>SUM(A5:A21)</f>
        <v>40</v>
      </c>
      <c r="B22" s="2" t="s">
        <v>25</v>
      </c>
      <c r="D22" s="74">
        <v>0</v>
      </c>
      <c r="E22" t="s">
        <v>46</v>
      </c>
      <c r="F22" s="2"/>
      <c r="G22" s="39">
        <v>11</v>
      </c>
      <c r="H22" s="75" t="s">
        <v>46</v>
      </c>
    </row>
    <row r="23" spans="1:9">
      <c r="D23" s="76"/>
      <c r="F23" s="2"/>
      <c r="H23" s="75"/>
    </row>
    <row r="24" spans="1:9" ht="15.75" thickBot="1">
      <c r="D24" s="77" t="s">
        <v>47</v>
      </c>
      <c r="E24" s="5"/>
      <c r="G24" s="17" t="s">
        <v>48</v>
      </c>
      <c r="H24" s="78"/>
    </row>
    <row r="25" spans="1:9" ht="15.75" thickBot="1">
      <c r="A25" s="20" t="s">
        <v>49</v>
      </c>
      <c r="B25" s="5"/>
      <c r="C25" s="4"/>
      <c r="D25" s="74">
        <v>3</v>
      </c>
      <c r="E25" t="s">
        <v>46</v>
      </c>
      <c r="F25" s="6"/>
      <c r="G25" s="39">
        <v>2</v>
      </c>
      <c r="H25" s="75" t="s">
        <v>29</v>
      </c>
    </row>
    <row r="26" spans="1:9">
      <c r="A26" s="39">
        <v>0</v>
      </c>
      <c r="B26" s="2" t="s">
        <v>50</v>
      </c>
      <c r="C26" s="4"/>
      <c r="D26" s="76"/>
      <c r="F26" s="2"/>
      <c r="H26" s="75"/>
    </row>
    <row r="27" spans="1:9" ht="15.75" thickBot="1">
      <c r="A27" s="39">
        <v>0</v>
      </c>
      <c r="B27" s="2" t="s">
        <v>51</v>
      </c>
      <c r="C27" s="9"/>
      <c r="D27" s="77" t="s">
        <v>52</v>
      </c>
      <c r="E27" s="5"/>
      <c r="F27" s="2"/>
      <c r="H27" s="75"/>
    </row>
    <row r="28" spans="1:9">
      <c r="A28" s="39">
        <v>0</v>
      </c>
      <c r="B28" s="2" t="s">
        <v>13</v>
      </c>
      <c r="C28" s="10"/>
      <c r="D28" s="74">
        <v>6</v>
      </c>
      <c r="E28" t="s">
        <v>53</v>
      </c>
      <c r="F28" s="2"/>
      <c r="H28" s="75"/>
    </row>
    <row r="29" spans="1:9" ht="15.75" thickBot="1">
      <c r="A29" s="39">
        <v>0</v>
      </c>
      <c r="B29" s="2" t="s">
        <v>16</v>
      </c>
      <c r="C29" s="10"/>
      <c r="D29" s="76"/>
      <c r="F29" s="2"/>
      <c r="G29" s="65" t="s">
        <v>54</v>
      </c>
      <c r="H29" s="79"/>
    </row>
    <row r="30" spans="1:9">
      <c r="A30" s="39">
        <v>0</v>
      </c>
      <c r="B30" s="2" t="s">
        <v>22</v>
      </c>
      <c r="D30" s="76"/>
      <c r="G30" s="68">
        <f>D22+D25+G22</f>
        <v>14</v>
      </c>
      <c r="H30" s="80" t="s">
        <v>46</v>
      </c>
    </row>
    <row r="31" spans="1:9">
      <c r="A31" s="39">
        <v>0</v>
      </c>
      <c r="B31" s="2" t="s">
        <v>23</v>
      </c>
      <c r="D31" s="76"/>
      <c r="G31" s="66">
        <f>D28</f>
        <v>6</v>
      </c>
      <c r="H31" s="80" t="s">
        <v>53</v>
      </c>
    </row>
    <row r="32" spans="1:9">
      <c r="A32" s="39">
        <v>0</v>
      </c>
      <c r="B32" s="16" t="s">
        <v>27</v>
      </c>
      <c r="D32" s="76"/>
      <c r="G32" s="66">
        <f>G25</f>
        <v>2</v>
      </c>
      <c r="H32" s="80" t="s">
        <v>29</v>
      </c>
    </row>
    <row r="33" spans="1:11">
      <c r="A33" s="39">
        <f>SUM(A26:A32)</f>
        <v>0</v>
      </c>
      <c r="B33" s="2" t="s">
        <v>25</v>
      </c>
      <c r="D33" s="81"/>
      <c r="E33" s="82"/>
      <c r="F33" s="82"/>
      <c r="G33" s="82"/>
      <c r="H33" s="83"/>
    </row>
    <row r="34" spans="1:11" ht="21.75" thickBot="1">
      <c r="A34" s="92" t="s">
        <v>0</v>
      </c>
      <c r="B34" s="92"/>
      <c r="C34" s="91">
        <f>C1</f>
        <v>45488</v>
      </c>
      <c r="D34" s="92"/>
      <c r="E34" s="92"/>
      <c r="G34" s="63" t="s">
        <v>1</v>
      </c>
      <c r="H34" s="67">
        <f>H1</f>
        <v>45529</v>
      </c>
      <c r="K34" s="19" t="s">
        <v>55</v>
      </c>
    </row>
    <row r="36" spans="1:11" ht="15.75" thickBot="1">
      <c r="A36" s="17" t="s">
        <v>56</v>
      </c>
      <c r="B36" s="17"/>
      <c r="D36" s="17" t="s">
        <v>57</v>
      </c>
      <c r="E36" s="17"/>
      <c r="G36" s="18" t="s">
        <v>58</v>
      </c>
      <c r="H36" s="5"/>
    </row>
    <row r="37" spans="1:11">
      <c r="A37" s="39">
        <v>0</v>
      </c>
      <c r="B37" s="2" t="s">
        <v>7</v>
      </c>
      <c r="D37" s="39">
        <v>3</v>
      </c>
      <c r="E37" s="2" t="s">
        <v>9</v>
      </c>
      <c r="G37" s="39">
        <v>8</v>
      </c>
      <c r="H37" s="2" t="s">
        <v>9</v>
      </c>
    </row>
    <row r="38" spans="1:11">
      <c r="A38" s="39">
        <v>10</v>
      </c>
      <c r="B38" s="2" t="s">
        <v>10</v>
      </c>
      <c r="D38" s="39">
        <v>24</v>
      </c>
      <c r="E38" s="2" t="s">
        <v>12</v>
      </c>
      <c r="G38" s="39">
        <v>15</v>
      </c>
      <c r="H38" s="2" t="s">
        <v>12</v>
      </c>
    </row>
    <row r="39" spans="1:11">
      <c r="A39" s="39">
        <v>1</v>
      </c>
      <c r="B39" s="2" t="s">
        <v>13</v>
      </c>
      <c r="D39" s="39">
        <v>0</v>
      </c>
      <c r="E39" s="2" t="s">
        <v>15</v>
      </c>
      <c r="G39" s="39">
        <v>0</v>
      </c>
      <c r="H39" s="2" t="s">
        <v>15</v>
      </c>
    </row>
    <row r="40" spans="1:11">
      <c r="A40" s="39">
        <v>1</v>
      </c>
      <c r="B40" s="2" t="s">
        <v>16</v>
      </c>
      <c r="D40" s="39">
        <v>1</v>
      </c>
      <c r="E40" s="2" t="s">
        <v>18</v>
      </c>
      <c r="G40" s="39">
        <v>1</v>
      </c>
      <c r="H40" s="2" t="s">
        <v>18</v>
      </c>
    </row>
    <row r="41" spans="1:11">
      <c r="A41" s="39">
        <v>20</v>
      </c>
      <c r="B41" s="2" t="s">
        <v>19</v>
      </c>
      <c r="D41" s="39">
        <v>0</v>
      </c>
      <c r="E41" s="2" t="s">
        <v>21</v>
      </c>
      <c r="G41" s="39">
        <v>1</v>
      </c>
      <c r="H41" s="2" t="s">
        <v>21</v>
      </c>
    </row>
    <row r="42" spans="1:11">
      <c r="A42" s="39">
        <v>4</v>
      </c>
      <c r="B42" s="2" t="s">
        <v>22</v>
      </c>
      <c r="D42" s="39">
        <v>24</v>
      </c>
      <c r="E42" s="2" t="s">
        <v>24</v>
      </c>
      <c r="G42" s="39">
        <v>12</v>
      </c>
      <c r="H42" s="2" t="s">
        <v>24</v>
      </c>
    </row>
    <row r="43" spans="1:11">
      <c r="A43" s="39">
        <v>6</v>
      </c>
      <c r="B43" s="2" t="s">
        <v>23</v>
      </c>
      <c r="D43" s="39">
        <v>0</v>
      </c>
      <c r="E43" s="2" t="s">
        <v>26</v>
      </c>
      <c r="G43" s="39">
        <v>1</v>
      </c>
      <c r="H43" s="2" t="s">
        <v>26</v>
      </c>
    </row>
    <row r="44" spans="1:11">
      <c r="A44" s="39">
        <v>0</v>
      </c>
      <c r="B44" s="2" t="s">
        <v>27</v>
      </c>
      <c r="D44" s="39">
        <v>0</v>
      </c>
      <c r="E44" s="2" t="s">
        <v>28</v>
      </c>
      <c r="G44" s="39">
        <v>0</v>
      </c>
      <c r="H44" s="2" t="s">
        <v>28</v>
      </c>
    </row>
    <row r="45" spans="1:11">
      <c r="A45" s="39">
        <v>3</v>
      </c>
      <c r="B45" s="2" t="s">
        <v>29</v>
      </c>
      <c r="D45" s="39">
        <v>0</v>
      </c>
      <c r="E45" s="2" t="s">
        <v>31</v>
      </c>
      <c r="G45" s="39">
        <v>0</v>
      </c>
      <c r="H45" s="2" t="s">
        <v>31</v>
      </c>
    </row>
    <row r="46" spans="1:11">
      <c r="A46" s="39">
        <v>1</v>
      </c>
      <c r="B46" s="2" t="s">
        <v>32</v>
      </c>
      <c r="D46" s="39">
        <v>18</v>
      </c>
      <c r="E46" s="16" t="s">
        <v>33</v>
      </c>
      <c r="G46" s="39">
        <v>30</v>
      </c>
      <c r="H46" s="16" t="s">
        <v>33</v>
      </c>
    </row>
    <row r="47" spans="1:11">
      <c r="A47" s="39">
        <v>0</v>
      </c>
      <c r="B47" s="2" t="s">
        <v>34</v>
      </c>
      <c r="D47" s="39">
        <f>SUM(D37:D46)</f>
        <v>70</v>
      </c>
      <c r="E47" s="2" t="s">
        <v>25</v>
      </c>
      <c r="G47" s="39">
        <f>SUM(G37:G46)</f>
        <v>68</v>
      </c>
      <c r="H47" s="2" t="s">
        <v>25</v>
      </c>
    </row>
    <row r="48" spans="1:11">
      <c r="A48" s="39">
        <v>1</v>
      </c>
      <c r="B48" s="2" t="s">
        <v>36</v>
      </c>
      <c r="E48" s="2"/>
      <c r="H48" s="2"/>
    </row>
    <row r="49" spans="1:9">
      <c r="A49" s="39">
        <v>0</v>
      </c>
      <c r="B49" s="2" t="s">
        <v>38</v>
      </c>
      <c r="D49" s="2" t="s">
        <v>30</v>
      </c>
      <c r="E49" s="16">
        <v>1857</v>
      </c>
      <c r="G49" s="2" t="s">
        <v>30</v>
      </c>
      <c r="H49" s="16">
        <v>7471</v>
      </c>
    </row>
    <row r="50" spans="1:9">
      <c r="A50" s="39">
        <v>0</v>
      </c>
      <c r="B50" s="2" t="s">
        <v>39</v>
      </c>
      <c r="F50" s="2"/>
    </row>
    <row r="51" spans="1:9">
      <c r="A51" s="39">
        <v>0</v>
      </c>
      <c r="B51" s="2" t="s">
        <v>41</v>
      </c>
    </row>
    <row r="52" spans="1:9" ht="15.75" thickBot="1">
      <c r="A52" s="39">
        <v>0</v>
      </c>
      <c r="B52" s="2" t="s">
        <v>42</v>
      </c>
      <c r="D52" s="17" t="s">
        <v>59</v>
      </c>
      <c r="E52" s="17"/>
      <c r="G52" s="17" t="s">
        <v>60</v>
      </c>
      <c r="H52" s="17"/>
    </row>
    <row r="53" spans="1:9">
      <c r="A53" s="39">
        <v>0</v>
      </c>
      <c r="B53" s="16" t="s">
        <v>43</v>
      </c>
      <c r="D53" s="39">
        <v>24</v>
      </c>
      <c r="E53" s="2" t="s">
        <v>37</v>
      </c>
      <c r="G53" s="39">
        <v>0</v>
      </c>
      <c r="H53" s="2" t="s">
        <v>61</v>
      </c>
    </row>
    <row r="54" spans="1:9">
      <c r="A54" s="39">
        <f>SUM(A37:A53)</f>
        <v>47</v>
      </c>
      <c r="B54" s="2" t="s">
        <v>25</v>
      </c>
      <c r="D54" s="39">
        <v>1</v>
      </c>
      <c r="E54" s="2" t="s">
        <v>14</v>
      </c>
      <c r="G54" s="39">
        <v>26</v>
      </c>
      <c r="H54" s="2" t="s">
        <v>62</v>
      </c>
    </row>
    <row r="55" spans="1:9">
      <c r="D55" s="39">
        <v>1</v>
      </c>
      <c r="E55" s="16" t="s">
        <v>40</v>
      </c>
      <c r="G55" s="39">
        <v>0</v>
      </c>
      <c r="H55" s="2" t="s">
        <v>63</v>
      </c>
    </row>
    <row r="56" spans="1:9">
      <c r="B56" s="4"/>
      <c r="D56" s="39">
        <f>SUM(D53:D55)</f>
        <v>26</v>
      </c>
      <c r="E56" s="2" t="s">
        <v>25</v>
      </c>
      <c r="G56" s="39">
        <v>15</v>
      </c>
      <c r="H56" s="2" t="s">
        <v>17</v>
      </c>
    </row>
    <row r="57" spans="1:9">
      <c r="G57" s="39">
        <v>6</v>
      </c>
      <c r="H57" s="2" t="s">
        <v>22</v>
      </c>
    </row>
    <row r="58" spans="1:9" ht="15.75" thickBot="1">
      <c r="D58" s="17" t="s">
        <v>64</v>
      </c>
      <c r="E58" s="17"/>
      <c r="G58" s="39">
        <v>24</v>
      </c>
      <c r="H58" s="16" t="s">
        <v>65</v>
      </c>
    </row>
    <row r="59" spans="1:9">
      <c r="D59" s="39">
        <v>20</v>
      </c>
      <c r="E59" s="2" t="s">
        <v>37</v>
      </c>
      <c r="G59" s="39">
        <f>SUM(G53:G58)</f>
        <v>71</v>
      </c>
      <c r="H59" s="2" t="s">
        <v>25</v>
      </c>
    </row>
    <row r="60" spans="1:9">
      <c r="D60" s="39">
        <v>0</v>
      </c>
      <c r="E60" s="2" t="s">
        <v>14</v>
      </c>
    </row>
    <row r="61" spans="1:9">
      <c r="D61" s="39">
        <v>0</v>
      </c>
      <c r="E61" s="16" t="s">
        <v>40</v>
      </c>
      <c r="G61" s="2" t="s">
        <v>30</v>
      </c>
      <c r="H61" s="16">
        <v>4869304504</v>
      </c>
    </row>
    <row r="62" spans="1:9">
      <c r="D62" s="39">
        <f>SUM(D59:D61)</f>
        <v>20</v>
      </c>
      <c r="E62" s="2" t="s">
        <v>25</v>
      </c>
    </row>
    <row r="63" spans="1:9">
      <c r="A63" s="4"/>
      <c r="B63" s="4"/>
      <c r="I63" s="2"/>
    </row>
    <row r="64" spans="1:9">
      <c r="A64" s="4"/>
      <c r="B64" s="4"/>
      <c r="I64" s="2"/>
    </row>
    <row r="65" spans="1:11">
      <c r="A65" s="9"/>
      <c r="B65" s="7"/>
      <c r="I65" s="2"/>
    </row>
    <row r="66" spans="1:11">
      <c r="I66" s="2"/>
    </row>
    <row r="67" spans="1:11" ht="21">
      <c r="A67" s="19" t="s">
        <v>66</v>
      </c>
    </row>
    <row r="69" spans="1:11" ht="15.75" thickBot="1">
      <c r="A69" s="30" t="s">
        <v>67</v>
      </c>
      <c r="B69" s="5"/>
      <c r="C69" s="34" t="s">
        <v>68</v>
      </c>
      <c r="D69" s="30" t="s">
        <v>69</v>
      </c>
      <c r="E69" s="5"/>
      <c r="G69" s="30" t="s">
        <v>70</v>
      </c>
      <c r="H69" s="5"/>
      <c r="J69" s="30" t="s">
        <v>71</v>
      </c>
      <c r="K69" s="5"/>
    </row>
    <row r="70" spans="1:11">
      <c r="A70" s="31">
        <f>A5+A26+A37</f>
        <v>1</v>
      </c>
      <c r="B70" s="2" t="s">
        <v>7</v>
      </c>
      <c r="C70" s="35">
        <f>D70*15</f>
        <v>225</v>
      </c>
      <c r="D70" s="15">
        <f t="shared" ref="D70:D79" si="0">G5+D37+G37</f>
        <v>15</v>
      </c>
      <c r="E70" s="2" t="s">
        <v>9</v>
      </c>
      <c r="G70" s="13">
        <f>D5+G53</f>
        <v>0</v>
      </c>
      <c r="H70" s="2" t="s">
        <v>8</v>
      </c>
      <c r="J70" s="13">
        <f>A10+D9+A30+A42+G57</f>
        <v>21</v>
      </c>
      <c r="K70" s="2" t="s">
        <v>22</v>
      </c>
    </row>
    <row r="71" spans="1:11">
      <c r="A71" s="26">
        <f>A6+A27+A38</f>
        <v>10</v>
      </c>
      <c r="B71" s="2" t="s">
        <v>10</v>
      </c>
      <c r="C71" s="35">
        <f t="shared" ref="C71:C77" si="1">D71*15</f>
        <v>675</v>
      </c>
      <c r="D71" s="14">
        <f t="shared" si="0"/>
        <v>45</v>
      </c>
      <c r="E71" s="2" t="s">
        <v>12</v>
      </c>
      <c r="G71" s="14">
        <f>D6+D16+D59+G54+D53</f>
        <v>102</v>
      </c>
      <c r="H71" s="2" t="s">
        <v>11</v>
      </c>
      <c r="J71" s="13">
        <f>A11+D10+A31+A43+G58</f>
        <v>51</v>
      </c>
      <c r="K71" s="2" t="s">
        <v>23</v>
      </c>
    </row>
    <row r="72" spans="1:11">
      <c r="A72" s="26">
        <f>A7+A28+A39</f>
        <v>2</v>
      </c>
      <c r="B72" s="2" t="s">
        <v>13</v>
      </c>
      <c r="C72" s="35">
        <f t="shared" si="1"/>
        <v>0</v>
      </c>
      <c r="D72" s="14">
        <f t="shared" si="0"/>
        <v>0</v>
      </c>
      <c r="E72" s="2" t="s">
        <v>15</v>
      </c>
      <c r="G72" s="14">
        <f>D7+D17+D60+G55+D54</f>
        <v>1</v>
      </c>
      <c r="H72" s="2" t="s">
        <v>14</v>
      </c>
      <c r="J72" s="13">
        <f>A12+A32+A44</f>
        <v>4</v>
      </c>
      <c r="K72" s="2" t="s">
        <v>27</v>
      </c>
    </row>
    <row r="73" spans="1:11">
      <c r="A73" s="26">
        <f>A8+A29+A40</f>
        <v>2</v>
      </c>
      <c r="B73" s="2" t="s">
        <v>16</v>
      </c>
      <c r="C73" s="35">
        <f t="shared" si="1"/>
        <v>30</v>
      </c>
      <c r="D73" s="14">
        <f t="shared" si="0"/>
        <v>2</v>
      </c>
      <c r="E73" s="2" t="s">
        <v>18</v>
      </c>
      <c r="G73" s="14">
        <f>D8+G56</f>
        <v>20</v>
      </c>
      <c r="H73" s="2" t="s">
        <v>17</v>
      </c>
      <c r="J73" s="13"/>
      <c r="K73" s="2" t="s">
        <v>72</v>
      </c>
    </row>
    <row r="74" spans="1:11">
      <c r="A74" s="26">
        <f>A9+A41</f>
        <v>40</v>
      </c>
      <c r="B74" s="2" t="s">
        <v>19</v>
      </c>
      <c r="C74" s="35">
        <f>D74*12</f>
        <v>12</v>
      </c>
      <c r="D74" s="14">
        <f t="shared" si="0"/>
        <v>1</v>
      </c>
      <c r="E74" s="2" t="s">
        <v>21</v>
      </c>
      <c r="J74" s="13">
        <f>A13+G25+A45</f>
        <v>5</v>
      </c>
      <c r="K74" s="2" t="s">
        <v>29</v>
      </c>
    </row>
    <row r="75" spans="1:11">
      <c r="A75" s="21">
        <f>A14+A46</f>
        <v>2</v>
      </c>
      <c r="B75" s="2" t="s">
        <v>32</v>
      </c>
      <c r="C75" s="35">
        <f>D75*10</f>
        <v>400</v>
      </c>
      <c r="D75" s="14">
        <f t="shared" si="0"/>
        <v>40</v>
      </c>
      <c r="E75" s="2" t="s">
        <v>24</v>
      </c>
      <c r="J75" s="13"/>
      <c r="K75" s="2" t="s">
        <v>73</v>
      </c>
    </row>
    <row r="76" spans="1:11">
      <c r="B76" s="2"/>
      <c r="C76" s="35">
        <f t="shared" si="1"/>
        <v>15</v>
      </c>
      <c r="D76" s="14">
        <f t="shared" si="0"/>
        <v>1</v>
      </c>
      <c r="E76" s="2" t="s">
        <v>26</v>
      </c>
      <c r="J76" s="14">
        <f>D22+D25+G22</f>
        <v>14</v>
      </c>
      <c r="K76" s="2" t="s">
        <v>46</v>
      </c>
    </row>
    <row r="77" spans="1:11">
      <c r="B77" s="2"/>
      <c r="C77" s="35">
        <f t="shared" si="1"/>
        <v>0</v>
      </c>
      <c r="D77" s="14">
        <f t="shared" si="0"/>
        <v>0</v>
      </c>
      <c r="E77" s="2" t="s">
        <v>28</v>
      </c>
      <c r="J77" s="14">
        <f>D28</f>
        <v>6</v>
      </c>
      <c r="K77" s="2" t="s">
        <v>53</v>
      </c>
    </row>
    <row r="78" spans="1:11">
      <c r="B78" s="2"/>
      <c r="C78" s="35">
        <f>D78*8</f>
        <v>16</v>
      </c>
      <c r="D78" s="14">
        <f t="shared" si="0"/>
        <v>2</v>
      </c>
      <c r="E78" s="2" t="s">
        <v>31</v>
      </c>
    </row>
    <row r="79" spans="1:11">
      <c r="C79" s="35">
        <f>D79*8</f>
        <v>408</v>
      </c>
      <c r="D79" s="14">
        <f t="shared" si="0"/>
        <v>51</v>
      </c>
      <c r="E79" s="2" t="s">
        <v>33</v>
      </c>
    </row>
    <row r="84" spans="1:11" ht="15.75" thickBot="1">
      <c r="A84" s="30" t="s">
        <v>74</v>
      </c>
      <c r="B84" s="5"/>
      <c r="F84" s="34" t="s">
        <v>68</v>
      </c>
      <c r="G84" s="30" t="s">
        <v>75</v>
      </c>
      <c r="H84" s="5"/>
      <c r="J84" s="5" t="s">
        <v>76</v>
      </c>
      <c r="K84" s="30" t="s">
        <v>77</v>
      </c>
    </row>
    <row r="85" spans="1:11">
      <c r="A85" s="13">
        <f>A15+A47</f>
        <v>0</v>
      </c>
      <c r="B85" s="2" t="s">
        <v>34</v>
      </c>
      <c r="F85" s="35">
        <f>G85*15</f>
        <v>30</v>
      </c>
      <c r="G85" s="26">
        <f>A72</f>
        <v>2</v>
      </c>
      <c r="H85" s="2" t="s">
        <v>13</v>
      </c>
      <c r="J85" s="15">
        <f>IF(MOD((A5),24)=0,(A5)/24,0)+IF(MOD((A37),24)=0,(A37)/24,0)</f>
        <v>0</v>
      </c>
      <c r="K85" t="s">
        <v>7</v>
      </c>
    </row>
    <row r="86" spans="1:11">
      <c r="A86" s="14">
        <f>A16+A48</f>
        <v>2</v>
      </c>
      <c r="B86" s="2" t="s">
        <v>36</v>
      </c>
      <c r="F86" s="35">
        <f t="shared" ref="F86:F89" si="2">G86*15</f>
        <v>30</v>
      </c>
      <c r="G86" s="21">
        <f>A75</f>
        <v>2</v>
      </c>
      <c r="H86" s="2" t="s">
        <v>32</v>
      </c>
      <c r="J86" s="14">
        <f>IF(MOD((A6),24)=0,(A6)/24,0)+IF(MOD((A38),24)=0,(A38)/24,0)</f>
        <v>0</v>
      </c>
      <c r="K86" t="s">
        <v>10</v>
      </c>
    </row>
    <row r="87" spans="1:11">
      <c r="A87" s="14">
        <f>A17+A49</f>
        <v>0</v>
      </c>
      <c r="B87" s="2" t="s">
        <v>78</v>
      </c>
      <c r="F87" s="35">
        <f>G87*10</f>
        <v>40</v>
      </c>
      <c r="G87" s="29">
        <f>J72</f>
        <v>4</v>
      </c>
      <c r="H87" s="2" t="s">
        <v>27</v>
      </c>
      <c r="J87" s="14">
        <f>IF(MOD((A9),20)=0,(A9)/20,0)+IF(MOD((A41),20)=0,(A41)/20,0)</f>
        <v>2</v>
      </c>
      <c r="K87" s="2" t="s">
        <v>19</v>
      </c>
    </row>
    <row r="88" spans="1:11">
      <c r="A88" s="14">
        <f>A18+A50</f>
        <v>0</v>
      </c>
      <c r="B88" s="2" t="s">
        <v>79</v>
      </c>
      <c r="F88" s="35">
        <f t="shared" si="2"/>
        <v>30</v>
      </c>
      <c r="G88" s="26">
        <f>A73</f>
        <v>2</v>
      </c>
      <c r="H88" s="2" t="s">
        <v>16</v>
      </c>
      <c r="J88" s="14">
        <f>IF(MOD((D5),24)=0,(D5)/24,0)+IF(MOD((G53),24)=0,(G53)/24,0)</f>
        <v>0</v>
      </c>
      <c r="K88" s="2" t="s">
        <v>8</v>
      </c>
    </row>
    <row r="89" spans="1:11">
      <c r="A89" s="14">
        <f>A19+A51+D18+D55+D61</f>
        <v>1</v>
      </c>
      <c r="B89" s="2" t="s">
        <v>40</v>
      </c>
      <c r="F89" s="35">
        <f t="shared" si="2"/>
        <v>15</v>
      </c>
      <c r="G89" s="21">
        <f>G72</f>
        <v>1</v>
      </c>
      <c r="H89" s="2" t="s">
        <v>14</v>
      </c>
      <c r="J89" s="14">
        <f>IF(MOD((D6),24)=0,(D6)/24,0)+IF(MOD((G54),24)=0,(G54)/24,0)</f>
        <v>0</v>
      </c>
      <c r="K89" s="2" t="s">
        <v>11</v>
      </c>
    </row>
    <row r="90" spans="1:11">
      <c r="A90" s="14">
        <f>A20+A52</f>
        <v>0</v>
      </c>
      <c r="B90" s="2" t="s">
        <v>42</v>
      </c>
      <c r="F90" s="35">
        <f>G90*5</f>
        <v>200</v>
      </c>
      <c r="G90" s="21">
        <f>A74</f>
        <v>40</v>
      </c>
      <c r="H90" s="2" t="s">
        <v>80</v>
      </c>
      <c r="J90" s="14">
        <f>IF(MOD((D8),13)=0,(D8)/13,0)+IF(MOD((G56),13)=0,(G56)/13,0)</f>
        <v>0</v>
      </c>
      <c r="K90" s="2" t="s">
        <v>17</v>
      </c>
    </row>
    <row r="91" spans="1:11">
      <c r="A91" s="14">
        <f>A21+A53</f>
        <v>0</v>
      </c>
      <c r="B91" s="2" t="s">
        <v>43</v>
      </c>
      <c r="F91" s="35">
        <f>G91*8</f>
        <v>160</v>
      </c>
      <c r="G91" s="21">
        <f>G73</f>
        <v>20</v>
      </c>
      <c r="H91" s="2" t="s">
        <v>17</v>
      </c>
      <c r="J91" s="14">
        <f>IF(MOD((A11),24)=0,(A11)/24,0)+IF(MOD((D10),24)=0,(D10)/24,0)+IF(MOD((A43),24)=0,(A43)/24,0)+IF(MOD((G58),24)=0,(G58)/24,0)</f>
        <v>1</v>
      </c>
      <c r="K91" s="2" t="s">
        <v>23</v>
      </c>
    </row>
    <row r="92" spans="1:11">
      <c r="J92" s="14">
        <f>IF(MOD((A12),24)=0,(A12)/24,0)+IF(MOD((A44),24)=0,(A44)/24,0)</f>
        <v>0</v>
      </c>
      <c r="K92" s="2" t="s">
        <v>27</v>
      </c>
    </row>
  </sheetData>
  <mergeCells count="4">
    <mergeCell ref="C1:E1"/>
    <mergeCell ref="A1:B1"/>
    <mergeCell ref="A34:B34"/>
    <mergeCell ref="C34:E34"/>
  </mergeCells>
  <conditionalFormatting sqref="A5:A6">
    <cfRule type="cellIs" dxfId="335" priority="140" operator="equal">
      <formula>24</formula>
    </cfRule>
    <cfRule type="cellIs" dxfId="334" priority="138" operator="equal">
      <formula>96</formula>
    </cfRule>
    <cfRule type="cellIs" dxfId="333" priority="137" operator="equal">
      <formula>72</formula>
    </cfRule>
    <cfRule type="cellIs" dxfId="332" priority="136" operator="equal">
      <formula>120</formula>
    </cfRule>
    <cfRule type="cellIs" dxfId="331" priority="135" operator="equal">
      <formula>144</formula>
    </cfRule>
    <cfRule type="cellIs" dxfId="330" priority="134" operator="equal">
      <formula>168</formula>
    </cfRule>
    <cfRule type="cellIs" dxfId="329" priority="141" operator="equal">
      <formula>48</formula>
    </cfRule>
  </conditionalFormatting>
  <conditionalFormatting sqref="A9">
    <cfRule type="cellIs" dxfId="328" priority="126" operator="equal">
      <formula>140</formula>
    </cfRule>
    <cfRule type="cellIs" dxfId="327" priority="125" operator="equal">
      <formula>120</formula>
    </cfRule>
    <cfRule type="cellIs" dxfId="326" priority="124" operator="equal">
      <formula>100</formula>
    </cfRule>
    <cfRule type="cellIs" dxfId="325" priority="122" operator="equal">
      <formula>60</formula>
    </cfRule>
    <cfRule type="cellIs" dxfId="324" priority="123" operator="equal">
      <formula>80</formula>
    </cfRule>
    <cfRule type="cellIs" dxfId="323" priority="121" operator="equal">
      <formula>40</formula>
    </cfRule>
    <cfRule type="cellIs" dxfId="322" priority="120" operator="equal">
      <formula>20</formula>
    </cfRule>
  </conditionalFormatting>
  <conditionalFormatting sqref="A11:A12">
    <cfRule type="cellIs" dxfId="321" priority="112" operator="equal">
      <formula>48</formula>
    </cfRule>
    <cfRule type="cellIs" dxfId="320" priority="111" operator="equal">
      <formula>24</formula>
    </cfRule>
    <cfRule type="cellIs" dxfId="319" priority="110" operator="equal">
      <formula>96</formula>
    </cfRule>
    <cfRule type="cellIs" dxfId="318" priority="109" operator="equal">
      <formula>72</formula>
    </cfRule>
    <cfRule type="cellIs" dxfId="317" priority="108" operator="equal">
      <formula>120</formula>
    </cfRule>
    <cfRule type="cellIs" dxfId="316" priority="107" operator="equal">
      <formula>144</formula>
    </cfRule>
    <cfRule type="cellIs" dxfId="315" priority="106" operator="equal">
      <formula>168</formula>
    </cfRule>
  </conditionalFormatting>
  <conditionalFormatting sqref="A37:A38">
    <cfRule type="cellIs" dxfId="314" priority="42" operator="equal">
      <formula>48</formula>
    </cfRule>
    <cfRule type="cellIs" dxfId="313" priority="37" operator="equal">
      <formula>144</formula>
    </cfRule>
    <cfRule type="cellIs" dxfId="312" priority="36" operator="equal">
      <formula>168</formula>
    </cfRule>
    <cfRule type="cellIs" dxfId="311" priority="38" operator="equal">
      <formula>120</formula>
    </cfRule>
    <cfRule type="cellIs" dxfId="310" priority="39" operator="equal">
      <formula>72</formula>
    </cfRule>
    <cfRule type="cellIs" dxfId="309" priority="40" operator="equal">
      <formula>96</formula>
    </cfRule>
    <cfRule type="cellIs" dxfId="308" priority="41" operator="equal">
      <formula>24</formula>
    </cfRule>
  </conditionalFormatting>
  <conditionalFormatting sqref="A41">
    <cfRule type="cellIs" dxfId="307" priority="29" operator="equal">
      <formula>20</formula>
    </cfRule>
    <cfRule type="cellIs" dxfId="306" priority="30" operator="equal">
      <formula>40</formula>
    </cfRule>
    <cfRule type="cellIs" dxfId="305" priority="31" operator="equal">
      <formula>60</formula>
    </cfRule>
    <cfRule type="cellIs" dxfId="304" priority="33" operator="equal">
      <formula>100</formula>
    </cfRule>
    <cfRule type="cellIs" dxfId="303" priority="34" operator="equal">
      <formula>120</formula>
    </cfRule>
    <cfRule type="cellIs" dxfId="302" priority="35" operator="equal">
      <formula>140</formula>
    </cfRule>
    <cfRule type="cellIs" dxfId="301" priority="32" operator="equal">
      <formula>80</formula>
    </cfRule>
  </conditionalFormatting>
  <conditionalFormatting sqref="A43:A44">
    <cfRule type="cellIs" dxfId="300" priority="23" operator="equal">
      <formula>144</formula>
    </cfRule>
    <cfRule type="cellIs" dxfId="299" priority="24" operator="equal">
      <formula>120</formula>
    </cfRule>
    <cfRule type="cellIs" dxfId="298" priority="22" operator="equal">
      <formula>168</formula>
    </cfRule>
    <cfRule type="cellIs" dxfId="297" priority="25" operator="equal">
      <formula>72</formula>
    </cfRule>
    <cfRule type="cellIs" dxfId="296" priority="26" operator="equal">
      <formula>96</formula>
    </cfRule>
    <cfRule type="cellIs" dxfId="295" priority="27" operator="equal">
      <formula>24</formula>
    </cfRule>
    <cfRule type="cellIs" dxfId="294" priority="28" operator="equal">
      <formula>48</formula>
    </cfRule>
  </conditionalFormatting>
  <conditionalFormatting sqref="D5:D6">
    <cfRule type="cellIs" dxfId="293" priority="102" operator="equal">
      <formula>72</formula>
    </cfRule>
    <cfRule type="cellIs" dxfId="292" priority="99" operator="equal">
      <formula>168</formula>
    </cfRule>
    <cfRule type="cellIs" dxfId="291" priority="100" operator="equal">
      <formula>144</formula>
    </cfRule>
    <cfRule type="cellIs" dxfId="290" priority="101" operator="equal">
      <formula>120</formula>
    </cfRule>
    <cfRule type="cellIs" dxfId="289" priority="103" operator="equal">
      <formula>96</formula>
    </cfRule>
    <cfRule type="cellIs" dxfId="288" priority="104" operator="equal">
      <formula>24</formula>
    </cfRule>
    <cfRule type="cellIs" dxfId="287" priority="105" operator="equal">
      <formula>48</formula>
    </cfRule>
  </conditionalFormatting>
  <conditionalFormatting sqref="D8">
    <cfRule type="cellIs" dxfId="286" priority="116" operator="equal">
      <formula>52</formula>
    </cfRule>
    <cfRule type="cellIs" dxfId="285" priority="118" operator="equal">
      <formula>78</formula>
    </cfRule>
    <cfRule type="cellIs" dxfId="284" priority="119" operator="equal">
      <formula>91</formula>
    </cfRule>
    <cfRule type="cellIs" dxfId="283" priority="114" operator="equal">
      <formula>26</formula>
    </cfRule>
    <cfRule type="cellIs" dxfId="282" priority="115" operator="equal">
      <formula>39</formula>
    </cfRule>
    <cfRule type="cellIs" dxfId="281" priority="113" operator="equal">
      <formula>13</formula>
    </cfRule>
    <cfRule type="cellIs" dxfId="280" priority="117" operator="equal">
      <formula>65</formula>
    </cfRule>
  </conditionalFormatting>
  <conditionalFormatting sqref="D10">
    <cfRule type="cellIs" dxfId="279" priority="73" operator="equal">
      <formula>120</formula>
    </cfRule>
    <cfRule type="cellIs" dxfId="278" priority="74" operator="equal">
      <formula>72</formula>
    </cfRule>
    <cfRule type="cellIs" dxfId="277" priority="71" operator="equal">
      <formula>168</formula>
    </cfRule>
    <cfRule type="cellIs" dxfId="276" priority="75" operator="equal">
      <formula>96</formula>
    </cfRule>
    <cfRule type="cellIs" dxfId="275" priority="76" operator="equal">
      <formula>24</formula>
    </cfRule>
    <cfRule type="cellIs" dxfId="274" priority="77" operator="equal">
      <formula>48</formula>
    </cfRule>
    <cfRule type="cellIs" dxfId="273" priority="72" operator="equal">
      <formula>144</formula>
    </cfRule>
  </conditionalFormatting>
  <conditionalFormatting sqref="G53:G54">
    <cfRule type="cellIs" dxfId="272" priority="14" operator="equal">
      <formula>48</formula>
    </cfRule>
    <cfRule type="cellIs" dxfId="271" priority="13" operator="equal">
      <formula>24</formula>
    </cfRule>
    <cfRule type="cellIs" dxfId="270" priority="12" operator="equal">
      <formula>96</formula>
    </cfRule>
    <cfRule type="cellIs" dxfId="269" priority="10" operator="equal">
      <formula>120</formula>
    </cfRule>
    <cfRule type="cellIs" dxfId="268" priority="9" operator="equal">
      <formula>144</formula>
    </cfRule>
    <cfRule type="cellIs" dxfId="267" priority="8" operator="equal">
      <formula>168</formula>
    </cfRule>
    <cfRule type="cellIs" dxfId="266" priority="11" operator="equal">
      <formula>72</formula>
    </cfRule>
  </conditionalFormatting>
  <conditionalFormatting sqref="G56">
    <cfRule type="cellIs" dxfId="265" priority="1" operator="equal">
      <formula>13</formula>
    </cfRule>
    <cfRule type="cellIs" dxfId="264" priority="7" operator="equal">
      <formula>91</formula>
    </cfRule>
    <cfRule type="cellIs" dxfId="263" priority="6" operator="equal">
      <formula>78</formula>
    </cfRule>
    <cfRule type="cellIs" dxfId="262" priority="5" operator="equal">
      <formula>65</formula>
    </cfRule>
    <cfRule type="cellIs" dxfId="261" priority="4" operator="equal">
      <formula>52</formula>
    </cfRule>
    <cfRule type="cellIs" dxfId="260" priority="3" operator="equal">
      <formula>39</formula>
    </cfRule>
    <cfRule type="cellIs" dxfId="259" priority="2" operator="equal">
      <formula>26</formula>
    </cfRule>
  </conditionalFormatting>
  <conditionalFormatting sqref="G57">
    <cfRule type="cellIs" dxfId="258" priority="21" operator="equal">
      <formula>48</formula>
    </cfRule>
    <cfRule type="cellIs" dxfId="257" priority="20" operator="equal">
      <formula>24</formula>
    </cfRule>
    <cfRule type="cellIs" dxfId="256" priority="19" operator="equal">
      <formula>96</formula>
    </cfRule>
    <cfRule type="cellIs" dxfId="255" priority="18" operator="equal">
      <formula>72</formula>
    </cfRule>
    <cfRule type="cellIs" dxfId="254" priority="17" operator="equal">
      <formula>120</formula>
    </cfRule>
    <cfRule type="cellIs" dxfId="253" priority="16" operator="equal">
      <formula>144</formula>
    </cfRule>
    <cfRule type="cellIs" dxfId="252" priority="15" operator="equal">
      <formula>168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Q78"/>
  <sheetViews>
    <sheetView view="pageLayout" zoomScale="70" zoomScaleNormal="100" zoomScalePageLayoutView="70" workbookViewId="0">
      <selection activeCell="C34" sqref="C34"/>
    </sheetView>
  </sheetViews>
  <sheetFormatPr defaultRowHeight="15"/>
  <cols>
    <col min="1" max="1" width="6.42578125" customWidth="1"/>
    <col min="2" max="2" width="19.5703125" customWidth="1"/>
    <col min="3" max="3" width="7.85546875" customWidth="1"/>
    <col min="4" max="4" width="5" customWidth="1"/>
    <col min="5" max="5" width="21.7109375" customWidth="1"/>
    <col min="6" max="6" width="7.8554687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7.5703125" customWidth="1"/>
  </cols>
  <sheetData>
    <row r="1" spans="1:11" ht="23.45" customHeight="1" thickBot="1">
      <c r="A1" s="92" t="s">
        <v>0</v>
      </c>
      <c r="B1" s="92"/>
      <c r="C1" s="91">
        <f>DATE(2024,1,1)+(Mon!B2-1)*7+1</f>
        <v>45489</v>
      </c>
      <c r="D1" s="91"/>
      <c r="E1" s="91"/>
      <c r="G1" s="63" t="s">
        <v>1</v>
      </c>
      <c r="H1" s="64">
        <f>Mon!C1+42-1</f>
        <v>45529</v>
      </c>
    </row>
    <row r="2" spans="1:11" ht="12.4" customHeight="1"/>
    <row r="3" spans="1:11" ht="12.4" customHeight="1" thickBot="1">
      <c r="A3" s="17" t="s">
        <v>81</v>
      </c>
      <c r="B3" s="17"/>
      <c r="D3" s="17" t="s">
        <v>82</v>
      </c>
      <c r="E3" s="17"/>
      <c r="G3" s="17" t="s">
        <v>83</v>
      </c>
      <c r="H3" s="17"/>
      <c r="J3" s="22" t="s">
        <v>84</v>
      </c>
      <c r="K3" s="27"/>
    </row>
    <row r="4" spans="1:11" ht="12.4" customHeight="1">
      <c r="A4" s="39">
        <v>1</v>
      </c>
      <c r="B4" s="2" t="s">
        <v>7</v>
      </c>
      <c r="D4" s="39">
        <v>1</v>
      </c>
      <c r="E4" s="2" t="s">
        <v>7</v>
      </c>
      <c r="G4" s="39">
        <v>1</v>
      </c>
      <c r="H4" s="2" t="s">
        <v>7</v>
      </c>
      <c r="J4" s="39">
        <v>2</v>
      </c>
      <c r="K4" s="2" t="s">
        <v>7</v>
      </c>
    </row>
    <row r="5" spans="1:11" ht="12.4" customHeight="1">
      <c r="A5" s="39">
        <v>0</v>
      </c>
      <c r="B5" s="2" t="s">
        <v>10</v>
      </c>
      <c r="D5" s="39">
        <v>10</v>
      </c>
      <c r="E5" s="2" t="s">
        <v>10</v>
      </c>
      <c r="G5" s="39">
        <v>24</v>
      </c>
      <c r="H5" s="2" t="s">
        <v>10</v>
      </c>
      <c r="J5" s="39">
        <v>5</v>
      </c>
      <c r="K5" s="2" t="s">
        <v>10</v>
      </c>
    </row>
    <row r="6" spans="1:11" ht="12.4" customHeight="1">
      <c r="A6" s="39">
        <v>0</v>
      </c>
      <c r="B6" s="2" t="s">
        <v>13</v>
      </c>
      <c r="D6" s="39">
        <v>0</v>
      </c>
      <c r="E6" s="2" t="s">
        <v>13</v>
      </c>
      <c r="G6" s="39">
        <v>0</v>
      </c>
      <c r="H6" s="2" t="s">
        <v>13</v>
      </c>
      <c r="J6" s="39">
        <v>1</v>
      </c>
      <c r="K6" s="2" t="s">
        <v>13</v>
      </c>
    </row>
    <row r="7" spans="1:11" ht="12.4" customHeight="1">
      <c r="A7" s="39">
        <v>3</v>
      </c>
      <c r="B7" s="2" t="s">
        <v>16</v>
      </c>
      <c r="D7" s="39">
        <v>0</v>
      </c>
      <c r="E7" s="2" t="s">
        <v>16</v>
      </c>
      <c r="G7" s="39">
        <v>0</v>
      </c>
      <c r="H7" s="2" t="s">
        <v>16</v>
      </c>
      <c r="J7" s="39">
        <v>1</v>
      </c>
      <c r="K7" s="2" t="s">
        <v>16</v>
      </c>
    </row>
    <row r="8" spans="1:11" ht="12.4" customHeight="1">
      <c r="A8" s="39">
        <v>20</v>
      </c>
      <c r="B8" s="2" t="s">
        <v>19</v>
      </c>
      <c r="D8" s="39">
        <v>20</v>
      </c>
      <c r="E8" s="2" t="s">
        <v>19</v>
      </c>
      <c r="G8" s="39">
        <v>40</v>
      </c>
      <c r="H8" s="2" t="s">
        <v>19</v>
      </c>
      <c r="J8" s="39">
        <v>5</v>
      </c>
      <c r="K8" s="2" t="s">
        <v>19</v>
      </c>
    </row>
    <row r="9" spans="1:11" ht="12.4" customHeight="1">
      <c r="A9" s="39">
        <v>3</v>
      </c>
      <c r="B9" s="2" t="s">
        <v>22</v>
      </c>
      <c r="D9" s="39">
        <v>6</v>
      </c>
      <c r="E9" s="2" t="s">
        <v>22</v>
      </c>
      <c r="G9" s="39">
        <v>7</v>
      </c>
      <c r="H9" s="2" t="s">
        <v>22</v>
      </c>
      <c r="J9" s="39">
        <v>5</v>
      </c>
      <c r="K9" s="2" t="s">
        <v>22</v>
      </c>
    </row>
    <row r="10" spans="1:11" ht="12.4" customHeight="1">
      <c r="A10" s="39">
        <v>5</v>
      </c>
      <c r="B10" s="2" t="s">
        <v>23</v>
      </c>
      <c r="D10" s="39">
        <v>0</v>
      </c>
      <c r="E10" s="2" t="s">
        <v>23</v>
      </c>
      <c r="G10" s="39">
        <v>12</v>
      </c>
      <c r="H10" s="2" t="s">
        <v>23</v>
      </c>
      <c r="J10" s="39">
        <v>2</v>
      </c>
      <c r="K10" s="2" t="s">
        <v>23</v>
      </c>
    </row>
    <row r="11" spans="1:11" ht="12.4" customHeight="1">
      <c r="A11" s="39">
        <v>0</v>
      </c>
      <c r="B11" s="2" t="s">
        <v>27</v>
      </c>
      <c r="D11" s="39">
        <v>4</v>
      </c>
      <c r="E11" s="2" t="s">
        <v>27</v>
      </c>
      <c r="G11" s="39">
        <v>4</v>
      </c>
      <c r="H11" s="2" t="s">
        <v>27</v>
      </c>
      <c r="J11" s="39">
        <v>0</v>
      </c>
      <c r="K11" s="2" t="s">
        <v>27</v>
      </c>
    </row>
    <row r="12" spans="1:11" ht="12.4" customHeight="1">
      <c r="A12" s="39">
        <v>1</v>
      </c>
      <c r="B12" s="2" t="s">
        <v>29</v>
      </c>
      <c r="D12" s="39">
        <v>0</v>
      </c>
      <c r="E12" s="2" t="s">
        <v>29</v>
      </c>
      <c r="G12" s="39">
        <v>2</v>
      </c>
      <c r="H12" s="2" t="s">
        <v>29</v>
      </c>
      <c r="J12" s="39">
        <v>0</v>
      </c>
      <c r="K12" s="16" t="s">
        <v>29</v>
      </c>
    </row>
    <row r="13" spans="1:11" ht="12.4" customHeight="1">
      <c r="A13" s="39">
        <v>1</v>
      </c>
      <c r="B13" s="2" t="s">
        <v>32</v>
      </c>
      <c r="D13" s="39">
        <v>0</v>
      </c>
      <c r="E13" s="2" t="s">
        <v>32</v>
      </c>
      <c r="G13" s="39">
        <v>0</v>
      </c>
      <c r="H13" s="2" t="s">
        <v>32</v>
      </c>
      <c r="J13" s="39">
        <f>SUM(J4:J12)</f>
        <v>21</v>
      </c>
      <c r="K13" s="3" t="s">
        <v>25</v>
      </c>
    </row>
    <row r="14" spans="1:11" ht="12.4" customHeight="1">
      <c r="A14" s="39">
        <v>0</v>
      </c>
      <c r="B14" s="2" t="s">
        <v>34</v>
      </c>
      <c r="D14" s="39">
        <v>0</v>
      </c>
      <c r="E14" s="2" t="s">
        <v>34</v>
      </c>
      <c r="G14" s="39">
        <v>0</v>
      </c>
      <c r="H14" s="2" t="s">
        <v>34</v>
      </c>
    </row>
    <row r="15" spans="1:11" ht="12.4" customHeight="1">
      <c r="A15" s="39">
        <v>1</v>
      </c>
      <c r="B15" s="2" t="s">
        <v>36</v>
      </c>
      <c r="D15" s="39">
        <v>0</v>
      </c>
      <c r="E15" s="2" t="s">
        <v>36</v>
      </c>
      <c r="G15" s="39">
        <v>0</v>
      </c>
      <c r="H15" s="2" t="s">
        <v>36</v>
      </c>
    </row>
    <row r="16" spans="1:11" ht="12.4" customHeight="1" thickBot="1">
      <c r="A16" s="39">
        <v>0</v>
      </c>
      <c r="B16" s="2" t="s">
        <v>38</v>
      </c>
      <c r="D16" s="39">
        <v>0</v>
      </c>
      <c r="E16" s="2" t="s">
        <v>38</v>
      </c>
      <c r="G16" s="39">
        <v>0</v>
      </c>
      <c r="H16" s="2" t="s">
        <v>38</v>
      </c>
      <c r="J16" s="69" t="s">
        <v>85</v>
      </c>
      <c r="K16" s="73"/>
    </row>
    <row r="17" spans="1:17" ht="12.4" customHeight="1">
      <c r="A17" s="39">
        <v>1</v>
      </c>
      <c r="B17" s="2" t="s">
        <v>39</v>
      </c>
      <c r="D17" s="39">
        <v>0</v>
      </c>
      <c r="E17" s="2" t="s">
        <v>39</v>
      </c>
      <c r="F17" s="2"/>
      <c r="G17" s="39">
        <v>0</v>
      </c>
      <c r="H17" s="2" t="s">
        <v>39</v>
      </c>
      <c r="J17" s="74">
        <v>0</v>
      </c>
      <c r="K17" s="75" t="s">
        <v>29</v>
      </c>
    </row>
    <row r="18" spans="1:17" ht="12.4" customHeight="1">
      <c r="A18" s="39">
        <v>1</v>
      </c>
      <c r="B18" s="2" t="s">
        <v>41</v>
      </c>
      <c r="D18" s="39">
        <v>0</v>
      </c>
      <c r="E18" s="2" t="s">
        <v>41</v>
      </c>
      <c r="G18" s="39">
        <v>0</v>
      </c>
      <c r="H18" s="2" t="s">
        <v>41</v>
      </c>
      <c r="J18" s="76"/>
      <c r="K18" s="75"/>
    </row>
    <row r="19" spans="1:17" ht="12.4" customHeight="1" thickBot="1">
      <c r="A19" s="39">
        <v>0</v>
      </c>
      <c r="B19" s="2" t="s">
        <v>42</v>
      </c>
      <c r="D19" s="39">
        <v>0</v>
      </c>
      <c r="E19" s="2" t="s">
        <v>42</v>
      </c>
      <c r="G19" s="39">
        <v>0</v>
      </c>
      <c r="H19" s="2" t="s">
        <v>42</v>
      </c>
      <c r="J19" s="77" t="s">
        <v>86</v>
      </c>
      <c r="K19" s="78"/>
    </row>
    <row r="20" spans="1:17" ht="12.4" customHeight="1">
      <c r="A20" s="39">
        <v>2</v>
      </c>
      <c r="B20" s="16" t="s">
        <v>43</v>
      </c>
      <c r="D20" s="39">
        <v>0</v>
      </c>
      <c r="E20" s="16" t="s">
        <v>43</v>
      </c>
      <c r="G20" s="39">
        <v>0</v>
      </c>
      <c r="H20" s="16" t="s">
        <v>43</v>
      </c>
      <c r="J20" s="74">
        <v>5</v>
      </c>
      <c r="K20" s="75" t="s">
        <v>29</v>
      </c>
    </row>
    <row r="21" spans="1:17" ht="12.4" customHeight="1">
      <c r="A21" s="39">
        <f>SUM(A4:A20)</f>
        <v>39</v>
      </c>
      <c r="B21" s="2" t="s">
        <v>25</v>
      </c>
      <c r="D21" s="39">
        <f>SUM(D4:D20)</f>
        <v>41</v>
      </c>
      <c r="E21" s="2" t="s">
        <v>25</v>
      </c>
      <c r="G21" s="39">
        <f>SUM(G4:G20)</f>
        <v>90</v>
      </c>
      <c r="H21" s="2" t="s">
        <v>25</v>
      </c>
      <c r="J21" s="76"/>
      <c r="K21" s="75"/>
    </row>
    <row r="22" spans="1:17" ht="12.4" customHeight="1">
      <c r="J22" s="76"/>
      <c r="K22" s="75"/>
    </row>
    <row r="23" spans="1:17" ht="12.4" customHeight="1" thickBot="1">
      <c r="J23" s="77" t="s">
        <v>87</v>
      </c>
      <c r="K23" s="78"/>
    </row>
    <row r="24" spans="1:17" ht="12.4" customHeight="1" thickBot="1">
      <c r="A24" s="20" t="s">
        <v>88</v>
      </c>
      <c r="B24" s="5"/>
      <c r="D24" s="20" t="s">
        <v>89</v>
      </c>
      <c r="E24" s="5"/>
      <c r="G24" s="17" t="s">
        <v>90</v>
      </c>
      <c r="H24" s="17"/>
      <c r="J24" s="74">
        <v>16</v>
      </c>
      <c r="K24" s="85" t="s">
        <v>29</v>
      </c>
    </row>
    <row r="25" spans="1:17" ht="12.4" customHeight="1">
      <c r="A25" s="39">
        <v>2</v>
      </c>
      <c r="B25" s="2" t="s">
        <v>8</v>
      </c>
      <c r="D25" s="39">
        <v>2</v>
      </c>
      <c r="E25" s="2" t="s">
        <v>8</v>
      </c>
      <c r="G25" s="39">
        <v>10</v>
      </c>
      <c r="H25" s="2" t="s">
        <v>37</v>
      </c>
      <c r="J25" s="76"/>
      <c r="K25" s="75"/>
    </row>
    <row r="26" spans="1:17" ht="12.4" customHeight="1" thickBot="1">
      <c r="A26" s="39">
        <v>0</v>
      </c>
      <c r="B26" s="2" t="s">
        <v>11</v>
      </c>
      <c r="D26" s="39">
        <v>0</v>
      </c>
      <c r="E26" s="2" t="s">
        <v>11</v>
      </c>
      <c r="G26" s="39">
        <v>0</v>
      </c>
      <c r="H26" s="2" t="s">
        <v>14</v>
      </c>
      <c r="J26" s="77" t="s">
        <v>91</v>
      </c>
      <c r="K26" s="84"/>
    </row>
    <row r="27" spans="1:17" ht="12.4" customHeight="1">
      <c r="A27" s="39">
        <v>1</v>
      </c>
      <c r="B27" s="2" t="s">
        <v>14</v>
      </c>
      <c r="D27" s="39">
        <v>2</v>
      </c>
      <c r="E27" s="2" t="s">
        <v>14</v>
      </c>
      <c r="G27" s="39">
        <v>0</v>
      </c>
      <c r="H27" s="16" t="s">
        <v>40</v>
      </c>
      <c r="J27" s="74">
        <v>24</v>
      </c>
      <c r="K27" s="85" t="s">
        <v>29</v>
      </c>
      <c r="Q27" s="3"/>
    </row>
    <row r="28" spans="1:17" ht="12.4" customHeight="1">
      <c r="A28" s="39">
        <v>2</v>
      </c>
      <c r="B28" s="2" t="s">
        <v>17</v>
      </c>
      <c r="D28" s="39">
        <v>0</v>
      </c>
      <c r="E28" s="2" t="s">
        <v>17</v>
      </c>
      <c r="G28" s="39">
        <f>SUM(G25:G27)</f>
        <v>10</v>
      </c>
      <c r="H28" s="2" t="s">
        <v>25</v>
      </c>
      <c r="J28" s="90">
        <v>2</v>
      </c>
      <c r="K28" s="75" t="s">
        <v>92</v>
      </c>
    </row>
    <row r="29" spans="1:17" ht="12.4" customHeight="1">
      <c r="A29" s="39">
        <v>6</v>
      </c>
      <c r="B29" s="2" t="s">
        <v>20</v>
      </c>
      <c r="D29" s="39">
        <v>6</v>
      </c>
      <c r="E29" s="2" t="s">
        <v>20</v>
      </c>
      <c r="J29" s="76"/>
      <c r="K29" s="75"/>
    </row>
    <row r="30" spans="1:17" ht="12.4" customHeight="1" thickBot="1">
      <c r="A30" s="39">
        <v>0</v>
      </c>
      <c r="B30" s="16" t="s">
        <v>93</v>
      </c>
      <c r="D30" s="39">
        <v>12</v>
      </c>
      <c r="E30" s="16" t="s">
        <v>93</v>
      </c>
      <c r="G30" s="17" t="s">
        <v>94</v>
      </c>
      <c r="H30" s="5"/>
      <c r="J30" s="89" t="s">
        <v>95</v>
      </c>
      <c r="K30" s="79"/>
    </row>
    <row r="31" spans="1:17" ht="12.4" customHeight="1">
      <c r="A31" s="39">
        <f>SUM(A25:A30)</f>
        <v>11</v>
      </c>
      <c r="B31" s="2" t="s">
        <v>25</v>
      </c>
      <c r="D31" s="39">
        <f>SUM(D25:D30)</f>
        <v>22</v>
      </c>
      <c r="E31" s="2" t="s">
        <v>25</v>
      </c>
      <c r="G31" s="39">
        <v>2</v>
      </c>
      <c r="H31" t="s">
        <v>46</v>
      </c>
      <c r="J31" s="87">
        <f>J17+J20+J24+J27</f>
        <v>45</v>
      </c>
      <c r="K31" s="88" t="s">
        <v>29</v>
      </c>
    </row>
    <row r="32" spans="1:17" ht="12.4" customHeight="1"/>
    <row r="33" spans="1:11" ht="12.4" customHeight="1" thickBot="1">
      <c r="A33" s="2" t="s">
        <v>30</v>
      </c>
      <c r="B33" s="16">
        <v>4869370491</v>
      </c>
      <c r="D33" s="2" t="s">
        <v>30</v>
      </c>
      <c r="E33" s="16">
        <v>4869369255</v>
      </c>
      <c r="G33" s="17" t="s">
        <v>96</v>
      </c>
      <c r="H33" s="5"/>
    </row>
    <row r="34" spans="1:11" ht="12.4" customHeight="1">
      <c r="G34" s="39">
        <v>8</v>
      </c>
      <c r="H34" t="s">
        <v>72</v>
      </c>
    </row>
    <row r="35" spans="1:11" ht="12.4" customHeight="1" thickBot="1">
      <c r="A35" s="17" t="s">
        <v>97</v>
      </c>
      <c r="B35" s="17"/>
      <c r="D35" s="17" t="s">
        <v>98</v>
      </c>
      <c r="E35" s="5"/>
      <c r="G35" s="39">
        <v>5</v>
      </c>
      <c r="H35" s="16" t="s">
        <v>73</v>
      </c>
    </row>
    <row r="36" spans="1:11" ht="12.4" customHeight="1">
      <c r="A36" s="39">
        <v>24</v>
      </c>
      <c r="B36" s="2" t="s">
        <v>99</v>
      </c>
      <c r="D36" s="39">
        <v>15</v>
      </c>
      <c r="E36" t="s">
        <v>29</v>
      </c>
      <c r="G36" s="39">
        <f>SUM(G34:G35)</f>
        <v>13</v>
      </c>
      <c r="H36" s="2" t="s">
        <v>25</v>
      </c>
    </row>
    <row r="37" spans="1:11" ht="12.4" customHeight="1">
      <c r="A37" s="39">
        <v>0</v>
      </c>
      <c r="B37" s="2" t="s">
        <v>73</v>
      </c>
      <c r="C37" s="23"/>
      <c r="D37" s="39">
        <v>10</v>
      </c>
      <c r="E37" s="16" t="s">
        <v>80</v>
      </c>
      <c r="F37" s="1"/>
    </row>
    <row r="38" spans="1:11" ht="12.4" customHeight="1" thickBot="1">
      <c r="A38" s="39">
        <v>4</v>
      </c>
      <c r="B38" s="16" t="s">
        <v>23</v>
      </c>
      <c r="D38" s="39">
        <f>SUM(D36:D37)</f>
        <v>25</v>
      </c>
      <c r="E38" s="2" t="s">
        <v>25</v>
      </c>
      <c r="G38" s="17" t="s">
        <v>100</v>
      </c>
      <c r="H38" s="5"/>
    </row>
    <row r="39" spans="1:11">
      <c r="A39" s="39">
        <f>SUM(A36:A38)</f>
        <v>28</v>
      </c>
      <c r="B39" s="2" t="s">
        <v>25</v>
      </c>
      <c r="G39" s="39">
        <v>2</v>
      </c>
      <c r="H39" t="s">
        <v>46</v>
      </c>
    </row>
    <row r="40" spans="1:11" ht="21">
      <c r="A40" s="19" t="s">
        <v>66</v>
      </c>
    </row>
    <row r="42" spans="1:11" ht="15.75" thickBot="1">
      <c r="A42" s="30" t="s">
        <v>67</v>
      </c>
      <c r="B42" s="5"/>
      <c r="C42" s="34" t="s">
        <v>68</v>
      </c>
      <c r="D42" s="30" t="s">
        <v>69</v>
      </c>
      <c r="E42" s="5"/>
      <c r="G42" s="30" t="s">
        <v>70</v>
      </c>
      <c r="H42" s="5"/>
      <c r="J42" s="30" t="s">
        <v>71</v>
      </c>
      <c r="K42" s="5"/>
    </row>
    <row r="43" spans="1:11">
      <c r="A43" s="31">
        <f>A4+G4+J4+D4</f>
        <v>5</v>
      </c>
      <c r="B43" s="2" t="s">
        <v>7</v>
      </c>
      <c r="C43" s="35">
        <f>D43*15</f>
        <v>0</v>
      </c>
      <c r="D43" s="15"/>
      <c r="E43" s="2" t="s">
        <v>9</v>
      </c>
      <c r="G43" s="13">
        <f>A25+D25</f>
        <v>4</v>
      </c>
      <c r="H43" s="2" t="s">
        <v>8</v>
      </c>
      <c r="J43" s="13">
        <f>A9+A29+G9+J9+D9+D29</f>
        <v>33</v>
      </c>
      <c r="K43" s="2" t="s">
        <v>22</v>
      </c>
    </row>
    <row r="44" spans="1:11">
      <c r="A44" s="26">
        <f>A5+G5+J5+D5</f>
        <v>39</v>
      </c>
      <c r="B44" s="2" t="s">
        <v>10</v>
      </c>
      <c r="C44" s="35">
        <f t="shared" ref="C44:C50" si="0">D44*15</f>
        <v>0</v>
      </c>
      <c r="D44" s="14"/>
      <c r="E44" s="2" t="s">
        <v>12</v>
      </c>
      <c r="G44" s="13">
        <f>A26+D26+G25</f>
        <v>10</v>
      </c>
      <c r="H44" s="2" t="s">
        <v>11</v>
      </c>
      <c r="J44" s="13">
        <f>A10+A30+G10+J10+D10+D30+A38</f>
        <v>35</v>
      </c>
      <c r="K44" s="2" t="s">
        <v>23</v>
      </c>
    </row>
    <row r="45" spans="1:11">
      <c r="A45" s="26">
        <f>A6+G6+J6+D6</f>
        <v>1</v>
      </c>
      <c r="B45" s="2" t="s">
        <v>13</v>
      </c>
      <c r="C45" s="35">
        <f t="shared" si="0"/>
        <v>0</v>
      </c>
      <c r="D45" s="14"/>
      <c r="E45" s="2" t="s">
        <v>15</v>
      </c>
      <c r="G45" s="13">
        <f>A27+D27+G26</f>
        <v>3</v>
      </c>
      <c r="H45" s="2" t="s">
        <v>14</v>
      </c>
      <c r="J45" s="13">
        <f>A11+G11+J11+D11</f>
        <v>8</v>
      </c>
      <c r="K45" s="2" t="s">
        <v>27</v>
      </c>
    </row>
    <row r="46" spans="1:11">
      <c r="A46" s="26">
        <f>A7+G7+J7+D7</f>
        <v>4</v>
      </c>
      <c r="B46" s="2" t="s">
        <v>16</v>
      </c>
      <c r="C46" s="35">
        <f t="shared" si="0"/>
        <v>0</v>
      </c>
      <c r="D46" s="14"/>
      <c r="E46" s="2" t="s">
        <v>18</v>
      </c>
      <c r="G46" s="14">
        <f>A28+D28</f>
        <v>2</v>
      </c>
      <c r="H46" s="2" t="s">
        <v>101</v>
      </c>
      <c r="J46" s="13">
        <f>G34</f>
        <v>8</v>
      </c>
      <c r="K46" s="2" t="s">
        <v>72</v>
      </c>
    </row>
    <row r="47" spans="1:11">
      <c r="A47" s="26">
        <f>A8+G8+J8+D8+D37</f>
        <v>95</v>
      </c>
      <c r="B47" s="2" t="s">
        <v>19</v>
      </c>
      <c r="C47" s="35">
        <f>D47*12</f>
        <v>0</v>
      </c>
      <c r="D47" s="14"/>
      <c r="E47" s="2" t="s">
        <v>21</v>
      </c>
      <c r="J47" s="13">
        <f>A12+J20+G12+J12+A36+D12+D36+J27+J24+J17</f>
        <v>87</v>
      </c>
      <c r="K47" s="2" t="s">
        <v>29</v>
      </c>
    </row>
    <row r="48" spans="1:11">
      <c r="A48" s="21">
        <f>A13+G13+D13</f>
        <v>1</v>
      </c>
      <c r="B48" s="2" t="s">
        <v>32</v>
      </c>
      <c r="C48" s="35">
        <f>D48*10</f>
        <v>0</v>
      </c>
      <c r="D48" s="14"/>
      <c r="E48" s="2" t="s">
        <v>24</v>
      </c>
      <c r="J48" s="13">
        <f>G35+A37</f>
        <v>5</v>
      </c>
      <c r="K48" s="2" t="s">
        <v>73</v>
      </c>
    </row>
    <row r="49" spans="1:11">
      <c r="B49" s="2"/>
      <c r="C49" s="35">
        <f t="shared" si="0"/>
        <v>0</v>
      </c>
      <c r="D49" s="14"/>
      <c r="E49" s="2" t="s">
        <v>26</v>
      </c>
      <c r="J49" s="14">
        <f>G39+G31</f>
        <v>4</v>
      </c>
      <c r="K49" s="2" t="s">
        <v>46</v>
      </c>
    </row>
    <row r="50" spans="1:11">
      <c r="B50" s="2"/>
      <c r="C50" s="35">
        <f t="shared" si="0"/>
        <v>0</v>
      </c>
      <c r="D50" s="14"/>
      <c r="E50" s="2" t="s">
        <v>28</v>
      </c>
      <c r="J50" s="14"/>
      <c r="K50" s="2" t="s">
        <v>53</v>
      </c>
    </row>
    <row r="51" spans="1:11">
      <c r="B51" s="2"/>
      <c r="C51" s="35">
        <f>D51*8</f>
        <v>0</v>
      </c>
      <c r="D51" s="14"/>
      <c r="E51" s="2" t="s">
        <v>31</v>
      </c>
    </row>
    <row r="52" spans="1:11">
      <c r="C52" s="35">
        <f>D52*8</f>
        <v>0</v>
      </c>
      <c r="D52" s="14"/>
      <c r="E52" s="2" t="s">
        <v>33</v>
      </c>
    </row>
    <row r="57" spans="1:11" ht="15.75" thickBot="1">
      <c r="A57" s="30" t="s">
        <v>74</v>
      </c>
      <c r="B57" s="5"/>
      <c r="F57" s="34" t="s">
        <v>68</v>
      </c>
      <c r="G57" s="30" t="s">
        <v>75</v>
      </c>
      <c r="H57" s="5"/>
      <c r="J57" s="5" t="s">
        <v>76</v>
      </c>
      <c r="K57" s="30" t="s">
        <v>77</v>
      </c>
    </row>
    <row r="58" spans="1:11">
      <c r="A58" s="13">
        <f>A14+G14+D14</f>
        <v>0</v>
      </c>
      <c r="B58" s="2" t="s">
        <v>34</v>
      </c>
      <c r="F58" s="35">
        <f>G58*15</f>
        <v>15</v>
      </c>
      <c r="G58" s="26">
        <f>A45</f>
        <v>1</v>
      </c>
      <c r="H58" s="2" t="s">
        <v>13</v>
      </c>
      <c r="J58" s="15">
        <f>IF(MOD((A4),24)=0,(A4)/24,0)+IF(MOD((D4),24)=0,(D4)/24,0)+IF(MOD((G4),24)=0,(G4)/24,0)</f>
        <v>0</v>
      </c>
      <c r="K58" t="s">
        <v>7</v>
      </c>
    </row>
    <row r="59" spans="1:11">
      <c r="A59" s="13">
        <f>A15+G15+D15</f>
        <v>1</v>
      </c>
      <c r="B59" s="2" t="s">
        <v>36</v>
      </c>
      <c r="F59" s="35">
        <f t="shared" ref="F59:F62" si="1">G59*15</f>
        <v>15</v>
      </c>
      <c r="G59" s="21">
        <f>A48</f>
        <v>1</v>
      </c>
      <c r="H59" s="2" t="s">
        <v>32</v>
      </c>
      <c r="J59" s="14">
        <f>IF(MOD((A5),24)=0,(A5)/24,0)+IF(MOD((D5),24)=0,(D5)/24,0)+IF(MOD((G5),24)=0,(G5)/24,0)</f>
        <v>1</v>
      </c>
      <c r="K59" t="s">
        <v>10</v>
      </c>
    </row>
    <row r="60" spans="1:11">
      <c r="A60" s="13">
        <f>A16+G16+D16</f>
        <v>0</v>
      </c>
      <c r="B60" s="2" t="s">
        <v>78</v>
      </c>
      <c r="F60" s="35">
        <f>G60*10</f>
        <v>80</v>
      </c>
      <c r="G60" s="29">
        <f>J45</f>
        <v>8</v>
      </c>
      <c r="H60" s="2" t="s">
        <v>27</v>
      </c>
      <c r="J60" s="13">
        <f>IF(MOD((A8),20)=0,(A8)/20,0)+IF(MOD((D8),20)=0,(D8)/20,0)+IF(MOD((G8),20)=0,(G8)/20,0)</f>
        <v>4</v>
      </c>
      <c r="K60" s="2" t="s">
        <v>19</v>
      </c>
    </row>
    <row r="61" spans="1:11">
      <c r="A61" s="13">
        <f>A17+G17+D17</f>
        <v>1</v>
      </c>
      <c r="B61" s="2" t="s">
        <v>79</v>
      </c>
      <c r="F61" s="35">
        <f t="shared" si="1"/>
        <v>60</v>
      </c>
      <c r="G61" s="26">
        <f>A46</f>
        <v>4</v>
      </c>
      <c r="H61" s="2" t="s">
        <v>16</v>
      </c>
      <c r="J61" s="14">
        <f>IF(MOD((A25),24)=0,(A25)/24,0)+IF(MOD((D25),24)=0,(D25)/24,0)</f>
        <v>0</v>
      </c>
      <c r="K61" s="2" t="s">
        <v>8</v>
      </c>
    </row>
    <row r="62" spans="1:11">
      <c r="A62" s="13">
        <f>A18+G18+D18+G27</f>
        <v>1</v>
      </c>
      <c r="B62" s="2" t="s">
        <v>40</v>
      </c>
      <c r="F62" s="35">
        <f t="shared" si="1"/>
        <v>45</v>
      </c>
      <c r="G62" s="21">
        <f>G45</f>
        <v>3</v>
      </c>
      <c r="H62" s="2" t="s">
        <v>14</v>
      </c>
      <c r="J62" s="14">
        <f>IF(MOD((A26),24)=0,(A26)/24,0)+IF(MOD((D26),24)=0,(D26)/24,0)</f>
        <v>0</v>
      </c>
      <c r="K62" s="2" t="s">
        <v>11</v>
      </c>
    </row>
    <row r="63" spans="1:11">
      <c r="A63" s="13">
        <f>A19+G19+D19</f>
        <v>0</v>
      </c>
      <c r="B63" s="2" t="s">
        <v>42</v>
      </c>
      <c r="F63" s="35">
        <f>G63*5</f>
        <v>475</v>
      </c>
      <c r="G63" s="21">
        <f>A47</f>
        <v>95</v>
      </c>
      <c r="H63" s="2" t="s">
        <v>80</v>
      </c>
      <c r="J63" s="14">
        <f>IF(MOD((A28),13)=0,(A28)/13,0)+IF(MOD((D28),13)=0,(D28)/13,0)</f>
        <v>0</v>
      </c>
      <c r="K63" s="2" t="s">
        <v>17</v>
      </c>
    </row>
    <row r="64" spans="1:11">
      <c r="A64" s="13">
        <f>A20+G20+D20</f>
        <v>2</v>
      </c>
      <c r="B64" s="2" t="s">
        <v>43</v>
      </c>
      <c r="F64" s="35">
        <f>G64*8</f>
        <v>16</v>
      </c>
      <c r="G64" s="21">
        <f>G46</f>
        <v>2</v>
      </c>
      <c r="H64" s="2" t="s">
        <v>17</v>
      </c>
      <c r="J64" s="14">
        <f>IF(MOD((A10),24)=0,(A10)/24,0)+IF(MOD((A30),24)=0,(A30)/24,0)+IF(MOD((D10),24)=0,(D10)/24,0)+IF(MOD((G10),24)=0,(G10)/24,0)+IF(MOD((D30),24)=0,(D30)/24,0)</f>
        <v>0</v>
      </c>
      <c r="K64" s="2" t="s">
        <v>23</v>
      </c>
    </row>
    <row r="65" spans="1:11">
      <c r="A65" s="4"/>
      <c r="B65" s="4"/>
      <c r="I65" s="2"/>
      <c r="J65" s="14">
        <f>IF(MOD((A11),24)=0,(A11)/24,0)+IF(MOD((D11),24)=0,(D11)/24,0)+IF(MOD((G11),24)=0,(G11)/24,0)</f>
        <v>0</v>
      </c>
      <c r="K65" s="2" t="s">
        <v>27</v>
      </c>
    </row>
    <row r="66" spans="1:11">
      <c r="I66" s="2"/>
    </row>
    <row r="69" spans="1:11">
      <c r="B69" s="2"/>
      <c r="E69" s="2"/>
      <c r="H69" s="2"/>
      <c r="K69" s="2"/>
    </row>
    <row r="70" spans="1:11">
      <c r="B70" s="2"/>
      <c r="E70" s="2"/>
      <c r="H70" s="2"/>
      <c r="K70" s="2"/>
    </row>
    <row r="71" spans="1:11">
      <c r="B71" s="2"/>
      <c r="E71" s="2"/>
      <c r="H71" s="2"/>
    </row>
    <row r="72" spans="1:11">
      <c r="B72" s="2"/>
      <c r="E72" s="2"/>
      <c r="H72" s="2"/>
    </row>
    <row r="73" spans="1:11">
      <c r="B73" s="2"/>
      <c r="H73" s="2"/>
    </row>
    <row r="74" spans="1:11">
      <c r="H74" s="2"/>
    </row>
    <row r="75" spans="1:11">
      <c r="H75" s="2"/>
    </row>
    <row r="76" spans="1:11">
      <c r="H76" s="2"/>
    </row>
    <row r="77" spans="1:11">
      <c r="H77" s="2"/>
    </row>
    <row r="78" spans="1:11">
      <c r="H78" s="2"/>
    </row>
  </sheetData>
  <mergeCells count="2">
    <mergeCell ref="C1:E1"/>
    <mergeCell ref="A1:B1"/>
  </mergeCells>
  <conditionalFormatting sqref="A4:A5">
    <cfRule type="cellIs" dxfId="251" priority="97" operator="equal">
      <formula>24</formula>
    </cfRule>
    <cfRule type="cellIs" dxfId="250" priority="96" operator="equal">
      <formula>96</formula>
    </cfRule>
    <cfRule type="cellIs" dxfId="249" priority="95" operator="equal">
      <formula>72</formula>
    </cfRule>
    <cfRule type="cellIs" dxfId="248" priority="94" operator="equal">
      <formula>120</formula>
    </cfRule>
    <cfRule type="cellIs" dxfId="247" priority="93" operator="equal">
      <formula>144</formula>
    </cfRule>
    <cfRule type="cellIs" dxfId="246" priority="92" operator="equal">
      <formula>168</formula>
    </cfRule>
    <cfRule type="cellIs" dxfId="245" priority="98" operator="equal">
      <formula>48</formula>
    </cfRule>
  </conditionalFormatting>
  <conditionalFormatting sqref="A8">
    <cfRule type="cellIs" dxfId="244" priority="89" operator="equal">
      <formula>100</formula>
    </cfRule>
    <cfRule type="cellIs" dxfId="243" priority="85" operator="equal">
      <formula>20</formula>
    </cfRule>
    <cfRule type="cellIs" dxfId="242" priority="86" operator="equal">
      <formula>40</formula>
    </cfRule>
    <cfRule type="cellIs" dxfId="241" priority="87" operator="equal">
      <formula>60</formula>
    </cfRule>
    <cfRule type="cellIs" dxfId="240" priority="88" operator="equal">
      <formula>80</formula>
    </cfRule>
    <cfRule type="cellIs" dxfId="239" priority="91" operator="equal">
      <formula>140</formula>
    </cfRule>
    <cfRule type="cellIs" dxfId="238" priority="90" operator="equal">
      <formula>120</formula>
    </cfRule>
  </conditionalFormatting>
  <conditionalFormatting sqref="A10:A11">
    <cfRule type="cellIs" dxfId="237" priority="82" operator="equal">
      <formula>96</formula>
    </cfRule>
    <cfRule type="cellIs" dxfId="236" priority="83" operator="equal">
      <formula>24</formula>
    </cfRule>
    <cfRule type="cellIs" dxfId="235" priority="84" operator="equal">
      <formula>48</formula>
    </cfRule>
    <cfRule type="cellIs" dxfId="234" priority="78" operator="equal">
      <formula>168</formula>
    </cfRule>
    <cfRule type="cellIs" dxfId="233" priority="81" operator="equal">
      <formula>72</formula>
    </cfRule>
    <cfRule type="cellIs" dxfId="232" priority="80" operator="equal">
      <formula>120</formula>
    </cfRule>
    <cfRule type="cellIs" dxfId="231" priority="79" operator="equal">
      <formula>144</formula>
    </cfRule>
  </conditionalFormatting>
  <conditionalFormatting sqref="A25:A26">
    <cfRule type="cellIs" dxfId="230" priority="64" operator="equal">
      <formula>168</formula>
    </cfRule>
    <cfRule type="cellIs" dxfId="229" priority="70" operator="equal">
      <formula>48</formula>
    </cfRule>
    <cfRule type="cellIs" dxfId="228" priority="69" operator="equal">
      <formula>24</formula>
    </cfRule>
    <cfRule type="cellIs" dxfId="227" priority="68" operator="equal">
      <formula>96</formula>
    </cfRule>
    <cfRule type="cellIs" dxfId="226" priority="67" operator="equal">
      <formula>72</formula>
    </cfRule>
    <cfRule type="cellIs" dxfId="225" priority="66" operator="equal">
      <formula>120</formula>
    </cfRule>
    <cfRule type="cellIs" dxfId="224" priority="65" operator="equal">
      <formula>144</formula>
    </cfRule>
  </conditionalFormatting>
  <conditionalFormatting sqref="A28">
    <cfRule type="cellIs" dxfId="223" priority="62" operator="equal">
      <formula>78</formula>
    </cfRule>
    <cfRule type="cellIs" dxfId="222" priority="63" operator="equal">
      <formula>91</formula>
    </cfRule>
    <cfRule type="cellIs" dxfId="221" priority="57" operator="equal">
      <formula>13</formula>
    </cfRule>
    <cfRule type="cellIs" dxfId="220" priority="58" operator="equal">
      <formula>26</formula>
    </cfRule>
    <cfRule type="cellIs" dxfId="219" priority="60" operator="equal">
      <formula>52</formula>
    </cfRule>
    <cfRule type="cellIs" dxfId="218" priority="59" operator="equal">
      <formula>39</formula>
    </cfRule>
    <cfRule type="cellIs" dxfId="217" priority="61" operator="equal">
      <formula>65</formula>
    </cfRule>
  </conditionalFormatting>
  <conditionalFormatting sqref="A30">
    <cfRule type="cellIs" dxfId="216" priority="50" operator="equal">
      <formula>168</formula>
    </cfRule>
    <cfRule type="cellIs" dxfId="215" priority="51" operator="equal">
      <formula>144</formula>
    </cfRule>
    <cfRule type="cellIs" dxfId="214" priority="52" operator="equal">
      <formula>120</formula>
    </cfRule>
    <cfRule type="cellIs" dxfId="213" priority="53" operator="equal">
      <formula>72</formula>
    </cfRule>
    <cfRule type="cellIs" dxfId="212" priority="54" operator="equal">
      <formula>96</formula>
    </cfRule>
    <cfRule type="cellIs" dxfId="211" priority="55" operator="equal">
      <formula>24</formula>
    </cfRule>
    <cfRule type="cellIs" dxfId="210" priority="56" operator="equal">
      <formula>48</formula>
    </cfRule>
  </conditionalFormatting>
  <conditionalFormatting sqref="D4:D5">
    <cfRule type="cellIs" dxfId="209" priority="42" operator="equal">
      <formula>48</formula>
    </cfRule>
    <cfRule type="cellIs" dxfId="208" priority="41" operator="equal">
      <formula>24</formula>
    </cfRule>
    <cfRule type="cellIs" dxfId="207" priority="40" operator="equal">
      <formula>96</formula>
    </cfRule>
    <cfRule type="cellIs" dxfId="206" priority="39" operator="equal">
      <formula>72</formula>
    </cfRule>
    <cfRule type="cellIs" dxfId="205" priority="38" operator="equal">
      <formula>120</formula>
    </cfRule>
    <cfRule type="cellIs" dxfId="204" priority="37" operator="equal">
      <formula>144</formula>
    </cfRule>
    <cfRule type="cellIs" dxfId="203" priority="36" operator="equal">
      <formula>168</formula>
    </cfRule>
  </conditionalFormatting>
  <conditionalFormatting sqref="D8">
    <cfRule type="cellIs" dxfId="202" priority="33" operator="equal">
      <formula>100</formula>
    </cfRule>
    <cfRule type="cellIs" dxfId="201" priority="35" operator="equal">
      <formula>140</formula>
    </cfRule>
    <cfRule type="cellIs" dxfId="200" priority="34" operator="equal">
      <formula>120</formula>
    </cfRule>
    <cfRule type="cellIs" dxfId="199" priority="32" operator="equal">
      <formula>80</formula>
    </cfRule>
    <cfRule type="cellIs" dxfId="198" priority="31" operator="equal">
      <formula>60</formula>
    </cfRule>
    <cfRule type="cellIs" dxfId="197" priority="30" operator="equal">
      <formula>40</formula>
    </cfRule>
    <cfRule type="cellIs" dxfId="196" priority="29" operator="equal">
      <formula>20</formula>
    </cfRule>
  </conditionalFormatting>
  <conditionalFormatting sqref="D10:D11">
    <cfRule type="cellIs" dxfId="195" priority="22" operator="equal">
      <formula>168</formula>
    </cfRule>
    <cfRule type="cellIs" dxfId="194" priority="23" operator="equal">
      <formula>144</formula>
    </cfRule>
    <cfRule type="cellIs" dxfId="193" priority="24" operator="equal">
      <formula>120</formula>
    </cfRule>
    <cfRule type="cellIs" dxfId="192" priority="25" operator="equal">
      <formula>72</formula>
    </cfRule>
    <cfRule type="cellIs" dxfId="191" priority="28" operator="equal">
      <formula>48</formula>
    </cfRule>
    <cfRule type="cellIs" dxfId="190" priority="26" operator="equal">
      <formula>96</formula>
    </cfRule>
    <cfRule type="cellIs" dxfId="189" priority="27" operator="equal">
      <formula>24</formula>
    </cfRule>
  </conditionalFormatting>
  <conditionalFormatting sqref="G4:G5">
    <cfRule type="cellIs" dxfId="188" priority="21" operator="equal">
      <formula>48</formula>
    </cfRule>
    <cfRule type="cellIs" dxfId="187" priority="20" operator="equal">
      <formula>24</formula>
    </cfRule>
    <cfRule type="cellIs" dxfId="186" priority="19" operator="equal">
      <formula>96</formula>
    </cfRule>
    <cfRule type="cellIs" dxfId="185" priority="18" operator="equal">
      <formula>72</formula>
    </cfRule>
    <cfRule type="cellIs" dxfId="184" priority="17" operator="equal">
      <formula>120</formula>
    </cfRule>
    <cfRule type="cellIs" dxfId="183" priority="16" operator="equal">
      <formula>144</formula>
    </cfRule>
    <cfRule type="cellIs" dxfId="182" priority="15" operator="equal">
      <formula>168</formula>
    </cfRule>
  </conditionalFormatting>
  <conditionalFormatting sqref="G8">
    <cfRule type="cellIs" dxfId="181" priority="11" operator="equal">
      <formula>80</formula>
    </cfRule>
    <cfRule type="cellIs" dxfId="180" priority="14" operator="equal">
      <formula>140</formula>
    </cfRule>
    <cfRule type="cellIs" dxfId="179" priority="13" operator="equal">
      <formula>120</formula>
    </cfRule>
    <cfRule type="cellIs" dxfId="178" priority="12" operator="equal">
      <formula>100</formula>
    </cfRule>
    <cfRule type="cellIs" dxfId="177" priority="10" operator="equal">
      <formula>60</formula>
    </cfRule>
    <cfRule type="cellIs" dxfId="176" priority="9" operator="equal">
      <formula>40</formula>
    </cfRule>
    <cfRule type="cellIs" dxfId="175" priority="8" operator="equal">
      <formula>20</formula>
    </cfRule>
  </conditionalFormatting>
  <conditionalFormatting sqref="G10:G11">
    <cfRule type="cellIs" dxfId="174" priority="1" operator="equal">
      <formula>168</formula>
    </cfRule>
    <cfRule type="cellIs" dxfId="173" priority="6" operator="equal">
      <formula>24</formula>
    </cfRule>
    <cfRule type="cellIs" dxfId="172" priority="7" operator="equal">
      <formula>48</formula>
    </cfRule>
    <cfRule type="cellIs" dxfId="171" priority="5" operator="equal">
      <formula>96</formula>
    </cfRule>
    <cfRule type="cellIs" dxfId="170" priority="4" operator="equal">
      <formula>72</formula>
    </cfRule>
    <cfRule type="cellIs" dxfId="169" priority="3" operator="equal">
      <formula>120</formula>
    </cfRule>
    <cfRule type="cellIs" dxfId="168" priority="2" operator="equal">
      <formula>144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A1:K80"/>
  <sheetViews>
    <sheetView view="pageLayout" zoomScale="70" zoomScaleNormal="100" zoomScalePageLayoutView="70" workbookViewId="0">
      <selection activeCell="C35" sqref="C35"/>
    </sheetView>
  </sheetViews>
  <sheetFormatPr defaultRowHeight="15"/>
  <cols>
    <col min="1" max="1" width="6.42578125" customWidth="1"/>
    <col min="2" max="2" width="19.5703125" customWidth="1"/>
    <col min="3" max="3" width="8.28515625" customWidth="1"/>
    <col min="4" max="4" width="5" customWidth="1"/>
    <col min="5" max="5" width="21.7109375" customWidth="1"/>
    <col min="6" max="6" width="7.570312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7.5703125" customWidth="1"/>
  </cols>
  <sheetData>
    <row r="1" spans="1:11" ht="19.5" customHeight="1" thickBot="1">
      <c r="A1" s="92" t="s">
        <v>0</v>
      </c>
      <c r="B1" s="92"/>
      <c r="C1" s="91">
        <f>DATE(2024,1,1)+(Mon!B2-1)*7+2</f>
        <v>45490</v>
      </c>
      <c r="D1" s="91"/>
      <c r="E1" s="91"/>
      <c r="G1" s="63" t="s">
        <v>1</v>
      </c>
      <c r="H1" s="64">
        <f>Mon!C1+49-1</f>
        <v>45536</v>
      </c>
      <c r="J1" s="17" t="s">
        <v>102</v>
      </c>
      <c r="K1" s="17"/>
    </row>
    <row r="2" spans="1:11" ht="12.75" customHeight="1">
      <c r="J2" s="39">
        <v>1</v>
      </c>
      <c r="K2" s="2" t="s">
        <v>7</v>
      </c>
    </row>
    <row r="3" spans="1:11" ht="12.75" customHeight="1" thickBot="1">
      <c r="A3" s="17" t="s">
        <v>103</v>
      </c>
      <c r="B3" s="5"/>
      <c r="D3" s="17" t="s">
        <v>104</v>
      </c>
      <c r="E3" s="17"/>
      <c r="G3" s="17" t="s">
        <v>105</v>
      </c>
      <c r="H3" s="17"/>
      <c r="J3" s="39">
        <v>9</v>
      </c>
      <c r="K3" s="2" t="s">
        <v>10</v>
      </c>
    </row>
    <row r="4" spans="1:11" ht="12.75" customHeight="1">
      <c r="A4" s="39">
        <v>5</v>
      </c>
      <c r="B4" s="28" t="s">
        <v>46</v>
      </c>
      <c r="D4" s="39">
        <v>2</v>
      </c>
      <c r="E4" s="2" t="s">
        <v>7</v>
      </c>
      <c r="G4" s="39">
        <v>2</v>
      </c>
      <c r="H4" s="2" t="s">
        <v>7</v>
      </c>
      <c r="J4" s="39">
        <v>10</v>
      </c>
      <c r="K4" s="2" t="s">
        <v>73</v>
      </c>
    </row>
    <row r="5" spans="1:11" ht="12.75" customHeight="1">
      <c r="A5" s="25"/>
      <c r="B5" s="2"/>
      <c r="D5" s="39">
        <v>15</v>
      </c>
      <c r="E5" s="2" t="s">
        <v>10</v>
      </c>
      <c r="G5" s="39">
        <v>6</v>
      </c>
      <c r="H5" s="2" t="s">
        <v>10</v>
      </c>
      <c r="J5" s="39">
        <v>14</v>
      </c>
      <c r="K5" s="2" t="s">
        <v>19</v>
      </c>
    </row>
    <row r="6" spans="1:11" ht="12.75" customHeight="1" thickBot="1">
      <c r="A6" s="17" t="s">
        <v>106</v>
      </c>
      <c r="B6" s="5"/>
      <c r="D6" s="39">
        <v>3</v>
      </c>
      <c r="E6" s="2" t="s">
        <v>16</v>
      </c>
      <c r="G6" s="39">
        <v>2</v>
      </c>
      <c r="H6" s="2" t="s">
        <v>16</v>
      </c>
      <c r="J6" s="39">
        <v>4</v>
      </c>
      <c r="K6" s="2" t="s">
        <v>20</v>
      </c>
    </row>
    <row r="7" spans="1:11" ht="12.75" customHeight="1">
      <c r="A7" s="39">
        <v>5</v>
      </c>
      <c r="B7" s="28" t="s">
        <v>46</v>
      </c>
      <c r="D7" s="39">
        <v>10</v>
      </c>
      <c r="E7" s="2" t="s">
        <v>22</v>
      </c>
      <c r="G7" s="39">
        <v>6</v>
      </c>
      <c r="H7" s="16" t="s">
        <v>19</v>
      </c>
      <c r="J7" s="39">
        <v>8</v>
      </c>
      <c r="K7" s="2" t="s">
        <v>72</v>
      </c>
    </row>
    <row r="8" spans="1:11" ht="12.75" customHeight="1">
      <c r="A8" s="24"/>
      <c r="B8" s="2"/>
      <c r="D8" s="39">
        <v>28</v>
      </c>
      <c r="E8" s="16" t="s">
        <v>23</v>
      </c>
      <c r="G8" s="39">
        <f>SUM(G4:G7)</f>
        <v>16</v>
      </c>
      <c r="H8" s="22" t="s">
        <v>25</v>
      </c>
      <c r="J8" s="39">
        <v>7</v>
      </c>
      <c r="K8" s="2" t="s">
        <v>29</v>
      </c>
    </row>
    <row r="9" spans="1:11" ht="12.75" customHeight="1" thickBot="1">
      <c r="A9" s="17" t="s">
        <v>107</v>
      </c>
      <c r="B9" s="5"/>
      <c r="D9" s="39">
        <f>SUM(D4:D8)</f>
        <v>58</v>
      </c>
      <c r="E9" s="22" t="s">
        <v>25</v>
      </c>
      <c r="J9" s="39">
        <v>12</v>
      </c>
      <c r="K9" s="2" t="s">
        <v>93</v>
      </c>
    </row>
    <row r="10" spans="1:11" ht="12.75" customHeight="1">
      <c r="A10" s="39">
        <v>5</v>
      </c>
      <c r="B10" s="28" t="s">
        <v>46</v>
      </c>
      <c r="J10" s="39">
        <v>0</v>
      </c>
      <c r="K10" s="2" t="s">
        <v>39</v>
      </c>
    </row>
    <row r="11" spans="1:11" ht="12.75" customHeight="1" thickBot="1">
      <c r="B11" s="2"/>
      <c r="D11" s="17" t="s">
        <v>108</v>
      </c>
      <c r="E11" s="17"/>
      <c r="G11" s="17" t="s">
        <v>109</v>
      </c>
      <c r="H11" s="17"/>
      <c r="J11" s="39">
        <v>0</v>
      </c>
      <c r="K11" s="16" t="s">
        <v>41</v>
      </c>
    </row>
    <row r="12" spans="1:11" ht="12.75" customHeight="1" thickBot="1">
      <c r="A12" s="17" t="s">
        <v>110</v>
      </c>
      <c r="B12" s="5"/>
      <c r="D12" s="39">
        <v>0</v>
      </c>
      <c r="E12" s="2" t="s">
        <v>7</v>
      </c>
      <c r="G12" s="39">
        <v>15</v>
      </c>
      <c r="H12" s="2" t="s">
        <v>7</v>
      </c>
      <c r="J12" s="39">
        <f>SUM(J2:J11)</f>
        <v>65</v>
      </c>
      <c r="K12" s="22" t="s">
        <v>25</v>
      </c>
    </row>
    <row r="13" spans="1:11" ht="12.75" customHeight="1">
      <c r="A13" s="39">
        <v>1</v>
      </c>
      <c r="B13" s="28" t="s">
        <v>46</v>
      </c>
      <c r="D13" s="39">
        <v>12</v>
      </c>
      <c r="E13" s="2" t="s">
        <v>10</v>
      </c>
      <c r="G13" s="39">
        <v>20</v>
      </c>
      <c r="H13" s="2" t="s">
        <v>10</v>
      </c>
    </row>
    <row r="14" spans="1:11" ht="12.75" customHeight="1" thickBot="1">
      <c r="A14" s="22"/>
      <c r="B14" s="22"/>
      <c r="D14" s="39">
        <v>2</v>
      </c>
      <c r="E14" s="2" t="s">
        <v>16</v>
      </c>
      <c r="G14" s="39">
        <v>5</v>
      </c>
      <c r="H14" s="2" t="s">
        <v>16</v>
      </c>
      <c r="J14" s="17" t="s">
        <v>111</v>
      </c>
      <c r="K14" s="17"/>
    </row>
    <row r="15" spans="1:11" ht="12.75" customHeight="1" thickBot="1">
      <c r="A15" s="17" t="s">
        <v>112</v>
      </c>
      <c r="B15" s="5"/>
      <c r="D15" s="39">
        <v>12</v>
      </c>
      <c r="E15" s="2" t="s">
        <v>19</v>
      </c>
      <c r="G15" s="39">
        <v>15</v>
      </c>
      <c r="H15" s="2" t="s">
        <v>19</v>
      </c>
      <c r="J15" s="39">
        <v>0</v>
      </c>
      <c r="K15" s="2" t="s">
        <v>7</v>
      </c>
    </row>
    <row r="16" spans="1:11" ht="12.75" customHeight="1">
      <c r="A16" s="39">
        <v>1</v>
      </c>
      <c r="B16" s="28" t="s">
        <v>53</v>
      </c>
      <c r="D16" s="39">
        <v>4</v>
      </c>
      <c r="E16" s="2" t="s">
        <v>22</v>
      </c>
      <c r="G16" s="39">
        <v>0</v>
      </c>
      <c r="H16" s="2" t="s">
        <v>39</v>
      </c>
      <c r="J16" s="39">
        <v>6</v>
      </c>
      <c r="K16" s="2" t="s">
        <v>10</v>
      </c>
    </row>
    <row r="17" spans="1:11" ht="12.75" customHeight="1">
      <c r="B17" s="2"/>
      <c r="D17" s="39">
        <v>10</v>
      </c>
      <c r="E17" s="16" t="s">
        <v>23</v>
      </c>
      <c r="F17" s="2"/>
      <c r="G17" s="39">
        <v>0</v>
      </c>
      <c r="H17" s="16" t="s">
        <v>41</v>
      </c>
      <c r="J17" s="39">
        <v>2</v>
      </c>
      <c r="K17" s="2" t="s">
        <v>16</v>
      </c>
    </row>
    <row r="18" spans="1:11" ht="12.75" customHeight="1" thickBot="1">
      <c r="A18" s="17" t="s">
        <v>113</v>
      </c>
      <c r="B18" s="5"/>
      <c r="D18" s="39">
        <f>SUM(D12:D17)</f>
        <v>40</v>
      </c>
      <c r="E18" s="22" t="s">
        <v>25</v>
      </c>
      <c r="G18" s="39">
        <f>SUM(G12:G17)</f>
        <v>55</v>
      </c>
      <c r="H18" s="22" t="s">
        <v>25</v>
      </c>
      <c r="J18" s="39">
        <v>0</v>
      </c>
      <c r="K18" s="2" t="s">
        <v>19</v>
      </c>
    </row>
    <row r="19" spans="1:11" ht="12.75" customHeight="1">
      <c r="A19" s="39">
        <v>0</v>
      </c>
      <c r="B19" s="28" t="s">
        <v>46</v>
      </c>
      <c r="J19" s="39">
        <v>0</v>
      </c>
      <c r="K19" s="2" t="s">
        <v>20</v>
      </c>
    </row>
    <row r="20" spans="1:11" ht="12.75" customHeight="1">
      <c r="E20" s="2"/>
      <c r="J20" s="39">
        <v>14</v>
      </c>
      <c r="K20" s="16" t="s">
        <v>93</v>
      </c>
    </row>
    <row r="21" spans="1:11" ht="12.75" customHeight="1" thickBot="1">
      <c r="A21" s="17" t="s">
        <v>114</v>
      </c>
      <c r="B21" s="5"/>
      <c r="D21" s="17" t="s">
        <v>115</v>
      </c>
      <c r="E21" s="17"/>
      <c r="G21" s="17" t="s">
        <v>116</v>
      </c>
      <c r="H21" s="5"/>
      <c r="J21" s="39">
        <f>SUM(J15:J20)</f>
        <v>22</v>
      </c>
      <c r="K21" s="22" t="s">
        <v>25</v>
      </c>
    </row>
    <row r="22" spans="1:11" ht="12.75" customHeight="1">
      <c r="A22" s="39">
        <v>0</v>
      </c>
      <c r="B22" s="28" t="s">
        <v>53</v>
      </c>
      <c r="D22" s="39">
        <v>8</v>
      </c>
      <c r="E22" s="2" t="s">
        <v>72</v>
      </c>
      <c r="G22" s="39">
        <v>2</v>
      </c>
      <c r="H22" s="28" t="s">
        <v>46</v>
      </c>
    </row>
    <row r="23" spans="1:11" ht="12.75" customHeight="1" thickBot="1">
      <c r="D23" s="39">
        <v>10</v>
      </c>
      <c r="E23" s="2" t="s">
        <v>29</v>
      </c>
      <c r="H23" s="2"/>
      <c r="J23" s="17" t="s">
        <v>117</v>
      </c>
      <c r="K23" s="5"/>
    </row>
    <row r="24" spans="1:11" ht="12.75" customHeight="1" thickBot="1">
      <c r="A24" s="17" t="s">
        <v>118</v>
      </c>
      <c r="B24" s="5"/>
      <c r="D24" s="39">
        <v>4</v>
      </c>
      <c r="E24" s="2" t="s">
        <v>73</v>
      </c>
      <c r="G24" s="17" t="s">
        <v>119</v>
      </c>
      <c r="H24" s="5"/>
      <c r="J24" s="39">
        <v>2</v>
      </c>
      <c r="K24" s="2" t="s">
        <v>72</v>
      </c>
    </row>
    <row r="25" spans="1:11" ht="12.75" customHeight="1">
      <c r="A25" s="39">
        <v>2</v>
      </c>
      <c r="B25" s="2" t="s">
        <v>29</v>
      </c>
      <c r="D25" s="39">
        <v>0</v>
      </c>
      <c r="E25" s="2" t="s">
        <v>46</v>
      </c>
      <c r="G25" s="39">
        <v>0</v>
      </c>
      <c r="H25" s="2" t="s">
        <v>29</v>
      </c>
      <c r="J25" s="39">
        <v>2</v>
      </c>
      <c r="K25" s="2" t="s">
        <v>29</v>
      </c>
    </row>
    <row r="26" spans="1:11" ht="12.75" customHeight="1">
      <c r="A26" s="39">
        <v>4</v>
      </c>
      <c r="B26" s="16" t="s">
        <v>46</v>
      </c>
      <c r="D26" s="39">
        <v>0</v>
      </c>
      <c r="E26" s="2" t="s">
        <v>19</v>
      </c>
      <c r="G26" s="39">
        <v>0</v>
      </c>
      <c r="H26" s="16" t="s">
        <v>46</v>
      </c>
      <c r="J26" s="39">
        <v>2</v>
      </c>
      <c r="K26" s="16" t="s">
        <v>73</v>
      </c>
    </row>
    <row r="27" spans="1:11" ht="12.75" customHeight="1">
      <c r="A27" s="39">
        <f>SUM(A25:A26)</f>
        <v>6</v>
      </c>
      <c r="B27" s="22" t="s">
        <v>25</v>
      </c>
      <c r="D27" s="39">
        <v>0</v>
      </c>
      <c r="E27" s="2" t="s">
        <v>39</v>
      </c>
      <c r="G27" s="39">
        <f>SUM(G25:G26)</f>
        <v>0</v>
      </c>
      <c r="H27" s="22" t="s">
        <v>25</v>
      </c>
      <c r="J27" s="39">
        <f>SUM(J24:J26)</f>
        <v>6</v>
      </c>
      <c r="K27" s="22" t="s">
        <v>25</v>
      </c>
    </row>
    <row r="28" spans="1:11" ht="12.75" customHeight="1">
      <c r="D28" s="39">
        <v>0</v>
      </c>
      <c r="E28" s="16" t="s">
        <v>41</v>
      </c>
      <c r="H28" s="2"/>
    </row>
    <row r="29" spans="1:11" ht="12.75" customHeight="1" thickBot="1">
      <c r="A29" s="17" t="s">
        <v>120</v>
      </c>
      <c r="B29" s="5"/>
      <c r="D29" s="39">
        <f>SUM(D22:D28)</f>
        <v>22</v>
      </c>
      <c r="E29" s="22" t="s">
        <v>25</v>
      </c>
      <c r="G29" s="17" t="s">
        <v>121</v>
      </c>
      <c r="H29" s="5"/>
      <c r="J29" s="17" t="s">
        <v>122</v>
      </c>
      <c r="K29" s="5"/>
    </row>
    <row r="30" spans="1:11" ht="12.75" customHeight="1">
      <c r="A30" s="39">
        <v>3</v>
      </c>
      <c r="B30" s="2" t="s">
        <v>72</v>
      </c>
      <c r="E30" s="2"/>
      <c r="G30" s="39">
        <v>0</v>
      </c>
      <c r="H30" s="28" t="s">
        <v>29</v>
      </c>
      <c r="J30" s="39">
        <v>2</v>
      </c>
      <c r="K30" s="2" t="s">
        <v>72</v>
      </c>
    </row>
    <row r="31" spans="1:11" ht="12.75" customHeight="1" thickBot="1">
      <c r="A31" s="39">
        <v>4</v>
      </c>
      <c r="B31" s="16" t="s">
        <v>123</v>
      </c>
      <c r="D31" s="30" t="s">
        <v>124</v>
      </c>
      <c r="E31" s="5"/>
      <c r="J31" s="39">
        <v>1</v>
      </c>
      <c r="K31" s="2" t="s">
        <v>29</v>
      </c>
    </row>
    <row r="32" spans="1:11" ht="12.75" customHeight="1" thickBot="1">
      <c r="A32" s="39">
        <f>SUM(A30:A31)</f>
        <v>7</v>
      </c>
      <c r="B32" s="22" t="s">
        <v>25</v>
      </c>
      <c r="D32" s="39">
        <v>0</v>
      </c>
      <c r="E32" s="2" t="s">
        <v>8</v>
      </c>
      <c r="G32" s="17" t="s">
        <v>125</v>
      </c>
      <c r="H32" s="5"/>
      <c r="J32" s="39">
        <v>0</v>
      </c>
      <c r="K32" s="16" t="s">
        <v>73</v>
      </c>
    </row>
    <row r="33" spans="1:11" ht="12.75" customHeight="1">
      <c r="D33" s="39">
        <v>8</v>
      </c>
      <c r="E33" s="2" t="s">
        <v>126</v>
      </c>
      <c r="G33" s="39">
        <v>2</v>
      </c>
      <c r="H33" s="28" t="s">
        <v>46</v>
      </c>
      <c r="J33" s="39">
        <f>SUM(J30:J32)</f>
        <v>3</v>
      </c>
      <c r="K33" s="2" t="s">
        <v>25</v>
      </c>
    </row>
    <row r="34" spans="1:11" ht="12.75" customHeight="1">
      <c r="D34" s="39">
        <v>0</v>
      </c>
      <c r="E34" s="16" t="s">
        <v>63</v>
      </c>
      <c r="H34" s="2"/>
    </row>
    <row r="35" spans="1:11" ht="12.75" customHeight="1" thickBot="1">
      <c r="D35" s="39">
        <f>SUM(D32:D34)</f>
        <v>8</v>
      </c>
      <c r="E35" s="22" t="s">
        <v>25</v>
      </c>
      <c r="G35" s="17" t="s">
        <v>127</v>
      </c>
      <c r="H35" s="5"/>
      <c r="J35" s="17" t="s">
        <v>128</v>
      </c>
      <c r="K35" s="5"/>
    </row>
    <row r="36" spans="1:11" ht="12.75" customHeight="1">
      <c r="G36" s="39">
        <v>1</v>
      </c>
      <c r="H36" s="28" t="s">
        <v>53</v>
      </c>
      <c r="J36" s="39">
        <v>2</v>
      </c>
      <c r="K36" s="2" t="s">
        <v>29</v>
      </c>
    </row>
    <row r="37" spans="1:11" ht="12.75" customHeight="1">
      <c r="C37" s="23"/>
      <c r="F37" s="1"/>
      <c r="J37" s="39">
        <v>0</v>
      </c>
      <c r="K37" s="16" t="s">
        <v>73</v>
      </c>
    </row>
    <row r="38" spans="1:11" ht="12.75" customHeight="1">
      <c r="J38" s="39">
        <f>SUM(J36:J37)</f>
        <v>2</v>
      </c>
      <c r="K38" s="22" t="s">
        <v>25</v>
      </c>
    </row>
    <row r="39" spans="1:11" ht="26.1" customHeight="1">
      <c r="A39" s="19" t="s">
        <v>66</v>
      </c>
    </row>
    <row r="41" spans="1:11" ht="15.75" thickBot="1">
      <c r="A41" s="30" t="s">
        <v>67</v>
      </c>
      <c r="B41" s="5"/>
      <c r="C41" s="38" t="s">
        <v>68</v>
      </c>
      <c r="D41" s="30" t="s">
        <v>69</v>
      </c>
      <c r="E41" s="5"/>
      <c r="G41" s="30" t="s">
        <v>70</v>
      </c>
      <c r="H41" s="5"/>
      <c r="J41" s="30" t="s">
        <v>71</v>
      </c>
      <c r="K41" s="5"/>
    </row>
    <row r="42" spans="1:11">
      <c r="A42" s="31">
        <f>D4+D12+G4+G12+J2+J15+J15</f>
        <v>20</v>
      </c>
      <c r="B42" s="2" t="s">
        <v>7</v>
      </c>
      <c r="C42" s="35">
        <f>D42*15</f>
        <v>0</v>
      </c>
      <c r="D42" s="15"/>
      <c r="E42" s="2" t="s">
        <v>9</v>
      </c>
      <c r="G42" s="13">
        <f>D32</f>
        <v>0</v>
      </c>
      <c r="H42" s="2" t="s">
        <v>8</v>
      </c>
      <c r="J42" s="13">
        <f>D7+D16+J6+J19</f>
        <v>18</v>
      </c>
      <c r="K42" s="2" t="s">
        <v>22</v>
      </c>
    </row>
    <row r="43" spans="1:11">
      <c r="A43" s="26">
        <f>D5+D13+G5+G13+J3+J16+J16</f>
        <v>74</v>
      </c>
      <c r="B43" s="2" t="s">
        <v>10</v>
      </c>
      <c r="C43" s="35">
        <f t="shared" ref="C43:C49" si="0">D43*15</f>
        <v>0</v>
      </c>
      <c r="D43" s="14"/>
      <c r="E43" s="2" t="s">
        <v>12</v>
      </c>
      <c r="G43" s="13">
        <f>D33</f>
        <v>8</v>
      </c>
      <c r="H43" s="2" t="s">
        <v>11</v>
      </c>
      <c r="J43" s="13">
        <f>D8+D17+J9+J20</f>
        <v>64</v>
      </c>
      <c r="K43" s="2" t="s">
        <v>23</v>
      </c>
    </row>
    <row r="44" spans="1:11">
      <c r="A44" s="26"/>
      <c r="B44" s="2" t="s">
        <v>13</v>
      </c>
      <c r="C44" s="35">
        <f t="shared" si="0"/>
        <v>0</v>
      </c>
      <c r="D44" s="14"/>
      <c r="E44" s="2" t="s">
        <v>15</v>
      </c>
      <c r="G44" s="13">
        <f>D34</f>
        <v>0</v>
      </c>
      <c r="H44" s="2" t="s">
        <v>14</v>
      </c>
      <c r="J44" s="13"/>
      <c r="K44" s="2" t="s">
        <v>27</v>
      </c>
    </row>
    <row r="45" spans="1:11">
      <c r="A45" s="26">
        <f>D6+D14+G6+G14+J4+J17+J17</f>
        <v>26</v>
      </c>
      <c r="B45" s="2" t="s">
        <v>16</v>
      </c>
      <c r="C45" s="35">
        <f t="shared" si="0"/>
        <v>0</v>
      </c>
      <c r="D45" s="14"/>
      <c r="E45" s="2" t="s">
        <v>18</v>
      </c>
      <c r="G45" s="14"/>
      <c r="H45" s="2" t="s">
        <v>101</v>
      </c>
      <c r="J45" s="13">
        <f>A30+D22+J7+J30+J24</f>
        <v>23</v>
      </c>
      <c r="K45" s="2" t="s">
        <v>72</v>
      </c>
    </row>
    <row r="46" spans="1:11">
      <c r="A46" s="26">
        <f>D15+D26+G7+G15+J5+J18+J18</f>
        <v>47</v>
      </c>
      <c r="B46" s="2" t="s">
        <v>19</v>
      </c>
      <c r="C46" s="35">
        <f>D46*12</f>
        <v>0</v>
      </c>
      <c r="D46" s="14"/>
      <c r="E46" s="2" t="s">
        <v>21</v>
      </c>
      <c r="J46" s="13">
        <f>A25+D23+G25+G30+J8+J31+J25+J36</f>
        <v>24</v>
      </c>
      <c r="K46" s="2" t="s">
        <v>29</v>
      </c>
    </row>
    <row r="47" spans="1:11">
      <c r="A47" s="32"/>
      <c r="B47" s="2" t="s">
        <v>32</v>
      </c>
      <c r="C47" s="35">
        <f>D47*10</f>
        <v>0</v>
      </c>
      <c r="D47" s="14"/>
      <c r="E47" s="2" t="s">
        <v>24</v>
      </c>
      <c r="J47" s="13">
        <f>D24+J32+J26+J37</f>
        <v>6</v>
      </c>
      <c r="K47" s="2" t="s">
        <v>73</v>
      </c>
    </row>
    <row r="48" spans="1:11">
      <c r="B48" s="2"/>
      <c r="C48" s="35">
        <f t="shared" si="0"/>
        <v>0</v>
      </c>
      <c r="D48" s="14"/>
      <c r="E48" s="2" t="s">
        <v>26</v>
      </c>
      <c r="J48" s="14">
        <f>A4+A7+A10+A13+A19+A26+A31+D25+G22+G26+G33</f>
        <v>28</v>
      </c>
      <c r="K48" s="2" t="s">
        <v>46</v>
      </c>
    </row>
    <row r="49" spans="1:11">
      <c r="B49" s="2"/>
      <c r="C49" s="35">
        <f t="shared" si="0"/>
        <v>0</v>
      </c>
      <c r="D49" s="14"/>
      <c r="E49" s="2" t="s">
        <v>28</v>
      </c>
      <c r="J49" s="14">
        <f>A16+G36+A22</f>
        <v>2</v>
      </c>
      <c r="K49" s="2" t="s">
        <v>53</v>
      </c>
    </row>
    <row r="50" spans="1:11">
      <c r="B50" s="2"/>
      <c r="C50" s="35">
        <f>D50*8</f>
        <v>0</v>
      </c>
      <c r="D50" s="14"/>
      <c r="E50" s="2" t="s">
        <v>31</v>
      </c>
    </row>
    <row r="51" spans="1:11">
      <c r="C51" s="35">
        <f>D51*8</f>
        <v>0</v>
      </c>
      <c r="D51" s="14"/>
      <c r="E51" s="2" t="s">
        <v>33</v>
      </c>
    </row>
    <row r="56" spans="1:11" ht="15.75" thickBot="1">
      <c r="A56" s="30" t="s">
        <v>74</v>
      </c>
      <c r="B56" s="5"/>
      <c r="F56" s="34" t="s">
        <v>68</v>
      </c>
      <c r="G56" s="30" t="s">
        <v>75</v>
      </c>
      <c r="H56" s="5"/>
    </row>
    <row r="57" spans="1:11">
      <c r="A57" s="13"/>
      <c r="B57" s="2" t="s">
        <v>34</v>
      </c>
      <c r="F57" s="35">
        <f>G57*15</f>
        <v>0</v>
      </c>
      <c r="G57" s="26">
        <f>A44</f>
        <v>0</v>
      </c>
      <c r="H57" s="2" t="s">
        <v>13</v>
      </c>
    </row>
    <row r="58" spans="1:11">
      <c r="A58" s="13"/>
      <c r="B58" s="2" t="s">
        <v>36</v>
      </c>
      <c r="F58" s="35">
        <f t="shared" ref="F58:F61" si="1">G58*15</f>
        <v>0</v>
      </c>
      <c r="G58" s="21">
        <f>A47</f>
        <v>0</v>
      </c>
      <c r="H58" s="2" t="s">
        <v>32</v>
      </c>
    </row>
    <row r="59" spans="1:11">
      <c r="A59" s="13"/>
      <c r="B59" s="2" t="s">
        <v>78</v>
      </c>
      <c r="F59" s="35">
        <f>G59*10</f>
        <v>0</v>
      </c>
      <c r="G59" s="29">
        <f>J44</f>
        <v>0</v>
      </c>
      <c r="H59" s="2" t="s">
        <v>27</v>
      </c>
    </row>
    <row r="60" spans="1:11">
      <c r="A60" s="13">
        <f>D27+G16+J10</f>
        <v>0</v>
      </c>
      <c r="B60" s="2" t="s">
        <v>79</v>
      </c>
      <c r="F60" s="35">
        <f t="shared" si="1"/>
        <v>390</v>
      </c>
      <c r="G60" s="26">
        <f>A45</f>
        <v>26</v>
      </c>
      <c r="H60" s="2" t="s">
        <v>16</v>
      </c>
    </row>
    <row r="61" spans="1:11">
      <c r="A61" s="13">
        <f>D28+G17+J11</f>
        <v>0</v>
      </c>
      <c r="B61" s="2" t="s">
        <v>40</v>
      </c>
      <c r="F61" s="35">
        <f t="shared" si="1"/>
        <v>0</v>
      </c>
      <c r="G61" s="21">
        <f>G44</f>
        <v>0</v>
      </c>
      <c r="H61" s="2" t="s">
        <v>14</v>
      </c>
    </row>
    <row r="62" spans="1:11">
      <c r="A62" s="13"/>
      <c r="B62" s="2" t="s">
        <v>42</v>
      </c>
      <c r="F62" s="35">
        <f>G62*5</f>
        <v>235</v>
      </c>
      <c r="G62" s="21">
        <f>A46</f>
        <v>47</v>
      </c>
      <c r="H62" s="2" t="s">
        <v>80</v>
      </c>
    </row>
    <row r="63" spans="1:11">
      <c r="A63" s="13"/>
      <c r="B63" s="2" t="s">
        <v>43</v>
      </c>
      <c r="F63" s="35">
        <f>G63*8</f>
        <v>0</v>
      </c>
      <c r="G63" s="21">
        <f>G45</f>
        <v>0</v>
      </c>
      <c r="H63" s="2" t="s">
        <v>17</v>
      </c>
    </row>
    <row r="66" spans="1:11">
      <c r="A66" s="4"/>
      <c r="B66" s="4"/>
      <c r="I66" s="2"/>
    </row>
    <row r="67" spans="1:11">
      <c r="A67" s="9"/>
      <c r="B67" s="7"/>
      <c r="I67" s="2"/>
    </row>
    <row r="68" spans="1:11">
      <c r="I68" s="2"/>
    </row>
    <row r="71" spans="1:11">
      <c r="B71" s="2"/>
      <c r="E71" s="2"/>
      <c r="H71" s="2"/>
      <c r="K71" s="2"/>
    </row>
    <row r="72" spans="1:11">
      <c r="B72" s="2"/>
      <c r="E72" s="2"/>
      <c r="H72" s="2"/>
      <c r="K72" s="2"/>
    </row>
    <row r="73" spans="1:11">
      <c r="B73" s="2"/>
      <c r="E73" s="2"/>
      <c r="H73" s="2"/>
    </row>
    <row r="74" spans="1:11">
      <c r="B74" s="2"/>
      <c r="E74" s="2"/>
      <c r="H74" s="2"/>
    </row>
    <row r="75" spans="1:11">
      <c r="B75" s="2"/>
      <c r="H75" s="2"/>
    </row>
    <row r="76" spans="1:11">
      <c r="H76" s="2"/>
    </row>
    <row r="77" spans="1:11">
      <c r="H77" s="2"/>
    </row>
    <row r="78" spans="1:11">
      <c r="H78" s="2"/>
    </row>
    <row r="79" spans="1:11">
      <c r="H79" s="2"/>
    </row>
    <row r="80" spans="1:11">
      <c r="H80" s="2"/>
    </row>
  </sheetData>
  <mergeCells count="2">
    <mergeCell ref="A1:B1"/>
    <mergeCell ref="C1:E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K94"/>
  <sheetViews>
    <sheetView view="pageLayout" zoomScale="70" zoomScaleNormal="100" zoomScalePageLayoutView="70" workbookViewId="0">
      <selection activeCell="H27" sqref="H27"/>
    </sheetView>
  </sheetViews>
  <sheetFormatPr defaultRowHeight="15"/>
  <cols>
    <col min="1" max="1" width="6.42578125" customWidth="1"/>
    <col min="2" max="2" width="19.5703125" customWidth="1"/>
    <col min="3" max="3" width="7.42578125" customWidth="1"/>
    <col min="4" max="4" width="5" customWidth="1"/>
    <col min="5" max="5" width="21.7109375" customWidth="1"/>
    <col min="6" max="6" width="7.570312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5.5703125" customWidth="1"/>
  </cols>
  <sheetData>
    <row r="1" spans="1:11" ht="21.75" thickBot="1">
      <c r="A1" s="92" t="s">
        <v>0</v>
      </c>
      <c r="B1" s="92"/>
      <c r="C1" s="91">
        <f>DATE(2024,1,1)+(Mon!B2-1)*7+3</f>
        <v>45491</v>
      </c>
      <c r="D1" s="91"/>
      <c r="E1" s="91"/>
      <c r="F1" s="1"/>
      <c r="G1" s="63" t="s">
        <v>1</v>
      </c>
      <c r="H1" s="64">
        <f>Mon!C1+49-1</f>
        <v>45536</v>
      </c>
      <c r="K1" s="19" t="s">
        <v>2</v>
      </c>
    </row>
    <row r="3" spans="1:11" ht="15.75" thickBot="1">
      <c r="A3" s="17" t="s">
        <v>129</v>
      </c>
      <c r="B3" s="17"/>
      <c r="D3" s="20" t="s">
        <v>130</v>
      </c>
      <c r="E3" s="5"/>
      <c r="G3" s="20" t="s">
        <v>131</v>
      </c>
      <c r="H3" s="5"/>
      <c r="J3" s="20" t="s">
        <v>132</v>
      </c>
      <c r="K3" s="5"/>
    </row>
    <row r="4" spans="1:11">
      <c r="A4" s="39">
        <v>1</v>
      </c>
      <c r="B4" s="2" t="s">
        <v>7</v>
      </c>
      <c r="D4" s="39">
        <v>0</v>
      </c>
      <c r="E4" s="2" t="s">
        <v>50</v>
      </c>
      <c r="G4" s="39">
        <v>2</v>
      </c>
      <c r="H4" s="2" t="s">
        <v>8</v>
      </c>
      <c r="J4" s="44">
        <v>6</v>
      </c>
      <c r="K4" s="2" t="s">
        <v>9</v>
      </c>
    </row>
    <row r="5" spans="1:11">
      <c r="A5" s="39">
        <v>6</v>
      </c>
      <c r="B5" s="2" t="s">
        <v>10</v>
      </c>
      <c r="D5" s="39">
        <v>4</v>
      </c>
      <c r="E5" s="2" t="s">
        <v>51</v>
      </c>
      <c r="G5" s="39">
        <v>10</v>
      </c>
      <c r="H5" s="2" t="s">
        <v>11</v>
      </c>
      <c r="J5" s="39">
        <v>6</v>
      </c>
      <c r="K5" s="2" t="s">
        <v>12</v>
      </c>
    </row>
    <row r="6" spans="1:11">
      <c r="A6" s="39">
        <v>0</v>
      </c>
      <c r="B6" s="2" t="s">
        <v>13</v>
      </c>
      <c r="D6" s="39">
        <v>0</v>
      </c>
      <c r="E6" s="2" t="s">
        <v>13</v>
      </c>
      <c r="G6" s="39">
        <v>2</v>
      </c>
      <c r="H6" s="2" t="s">
        <v>14</v>
      </c>
      <c r="J6" s="39">
        <v>0</v>
      </c>
      <c r="K6" s="2" t="s">
        <v>15</v>
      </c>
    </row>
    <row r="7" spans="1:11">
      <c r="A7" s="39">
        <v>0</v>
      </c>
      <c r="B7" s="2" t="s">
        <v>16</v>
      </c>
      <c r="D7" s="39">
        <v>0</v>
      </c>
      <c r="E7" s="2" t="s">
        <v>16</v>
      </c>
      <c r="G7" s="39">
        <v>4</v>
      </c>
      <c r="H7" s="2" t="s">
        <v>17</v>
      </c>
      <c r="J7" s="39">
        <v>1</v>
      </c>
      <c r="K7" s="2" t="s">
        <v>18</v>
      </c>
    </row>
    <row r="8" spans="1:11">
      <c r="A8" s="39">
        <v>10</v>
      </c>
      <c r="B8" s="2" t="s">
        <v>19</v>
      </c>
      <c r="D8" s="39">
        <v>6</v>
      </c>
      <c r="E8" s="2" t="s">
        <v>22</v>
      </c>
      <c r="G8" s="39">
        <v>15</v>
      </c>
      <c r="H8" s="2" t="s">
        <v>23</v>
      </c>
      <c r="J8" s="39">
        <v>0</v>
      </c>
      <c r="K8" s="2" t="s">
        <v>21</v>
      </c>
    </row>
    <row r="9" spans="1:11">
      <c r="A9" s="39">
        <v>10</v>
      </c>
      <c r="B9" s="2" t="s">
        <v>22</v>
      </c>
      <c r="D9" s="39">
        <v>10</v>
      </c>
      <c r="E9" s="2" t="s">
        <v>23</v>
      </c>
      <c r="G9" s="39">
        <v>5</v>
      </c>
      <c r="H9" s="16" t="s">
        <v>20</v>
      </c>
      <c r="J9" s="39">
        <v>6</v>
      </c>
      <c r="K9" s="2" t="s">
        <v>24</v>
      </c>
    </row>
    <row r="10" spans="1:11">
      <c r="A10" s="39">
        <v>7</v>
      </c>
      <c r="B10" s="2" t="s">
        <v>23</v>
      </c>
      <c r="D10" s="39">
        <v>0</v>
      </c>
      <c r="E10" s="16" t="s">
        <v>27</v>
      </c>
      <c r="G10" s="39">
        <f>SUM(G4:G9)</f>
        <v>38</v>
      </c>
      <c r="H10" s="22" t="s">
        <v>25</v>
      </c>
      <c r="J10" s="39">
        <v>0</v>
      </c>
      <c r="K10" s="2" t="s">
        <v>26</v>
      </c>
    </row>
    <row r="11" spans="1:11">
      <c r="A11" s="39">
        <v>6</v>
      </c>
      <c r="B11" s="2" t="s">
        <v>27</v>
      </c>
      <c r="D11" s="39">
        <f>SUM(D4:D10)</f>
        <v>20</v>
      </c>
      <c r="E11" s="22" t="s">
        <v>25</v>
      </c>
      <c r="J11" s="39">
        <v>0</v>
      </c>
      <c r="K11" s="2" t="s">
        <v>28</v>
      </c>
    </row>
    <row r="12" spans="1:11">
      <c r="A12" s="39">
        <v>0</v>
      </c>
      <c r="B12" s="2" t="s">
        <v>29</v>
      </c>
      <c r="E12" s="2"/>
      <c r="G12" s="2" t="s">
        <v>30</v>
      </c>
      <c r="H12" s="16">
        <v>48694119100</v>
      </c>
      <c r="J12" s="39">
        <v>2</v>
      </c>
      <c r="K12" s="2" t="s">
        <v>31</v>
      </c>
    </row>
    <row r="13" spans="1:11">
      <c r="A13" s="39">
        <v>0</v>
      </c>
      <c r="B13" s="2" t="s">
        <v>32</v>
      </c>
      <c r="J13" s="39">
        <v>4</v>
      </c>
      <c r="K13" s="16" t="s">
        <v>33</v>
      </c>
    </row>
    <row r="14" spans="1:11" ht="15.75" thickBot="1">
      <c r="A14" s="39">
        <v>0</v>
      </c>
      <c r="B14" s="2" t="s">
        <v>34</v>
      </c>
      <c r="G14" s="17" t="s">
        <v>133</v>
      </c>
      <c r="H14" s="17"/>
      <c r="J14" s="39">
        <f>SUM(J4:J13)</f>
        <v>25</v>
      </c>
      <c r="K14" s="22" t="s">
        <v>25</v>
      </c>
    </row>
    <row r="15" spans="1:11">
      <c r="A15" s="39">
        <v>0</v>
      </c>
      <c r="B15" s="2" t="s">
        <v>36</v>
      </c>
      <c r="F15" s="3"/>
      <c r="G15" s="39">
        <v>24</v>
      </c>
      <c r="H15" s="2" t="s">
        <v>37</v>
      </c>
      <c r="K15" s="2"/>
    </row>
    <row r="16" spans="1:11">
      <c r="A16" s="39">
        <v>0</v>
      </c>
      <c r="B16" s="2" t="s">
        <v>38</v>
      </c>
      <c r="G16" s="39">
        <v>1</v>
      </c>
      <c r="H16" s="2" t="s">
        <v>14</v>
      </c>
      <c r="J16" s="2" t="s">
        <v>30</v>
      </c>
      <c r="K16" s="16">
        <v>8519</v>
      </c>
    </row>
    <row r="17" spans="1:9">
      <c r="A17" s="39">
        <v>0</v>
      </c>
      <c r="B17" s="2" t="s">
        <v>39</v>
      </c>
      <c r="G17" s="39">
        <v>0</v>
      </c>
      <c r="H17" s="16" t="s">
        <v>41</v>
      </c>
    </row>
    <row r="18" spans="1:9">
      <c r="A18" s="39">
        <v>0</v>
      </c>
      <c r="B18" s="2" t="s">
        <v>41</v>
      </c>
      <c r="G18" s="39">
        <f>SUM(G15:G17)</f>
        <v>25</v>
      </c>
      <c r="H18" s="22" t="s">
        <v>25</v>
      </c>
      <c r="I18" s="4"/>
    </row>
    <row r="19" spans="1:9">
      <c r="A19" s="39">
        <v>0</v>
      </c>
      <c r="B19" s="2" t="s">
        <v>42</v>
      </c>
      <c r="I19" s="4"/>
    </row>
    <row r="20" spans="1:9">
      <c r="A20" s="39">
        <v>0</v>
      </c>
      <c r="B20" s="16" t="s">
        <v>43</v>
      </c>
      <c r="I20" s="2"/>
    </row>
    <row r="21" spans="1:9">
      <c r="A21" s="39">
        <f>SUM(A4:A20)</f>
        <v>40</v>
      </c>
      <c r="B21" s="22" t="s">
        <v>25</v>
      </c>
      <c r="I21" s="2"/>
    </row>
    <row r="22" spans="1:9">
      <c r="I22" s="2"/>
    </row>
    <row r="24" spans="1:9" ht="15.75" thickBot="1">
      <c r="A24" s="17" t="s">
        <v>134</v>
      </c>
      <c r="B24" s="5"/>
      <c r="D24" s="17" t="s">
        <v>135</v>
      </c>
      <c r="E24" s="5"/>
      <c r="H24" s="2"/>
    </row>
    <row r="25" spans="1:9">
      <c r="A25" s="39">
        <v>1</v>
      </c>
      <c r="B25" t="s">
        <v>46</v>
      </c>
      <c r="D25" s="39">
        <v>0</v>
      </c>
      <c r="E25" t="s">
        <v>46</v>
      </c>
    </row>
    <row r="27" spans="1:9" ht="15.75" thickBot="1">
      <c r="A27" s="20" t="s">
        <v>136</v>
      </c>
      <c r="B27" s="5"/>
      <c r="D27" s="17" t="s">
        <v>137</v>
      </c>
      <c r="E27" s="5"/>
    </row>
    <row r="28" spans="1:9">
      <c r="A28" s="44">
        <v>9</v>
      </c>
      <c r="B28" s="2" t="s">
        <v>72</v>
      </c>
      <c r="D28" s="39">
        <v>2</v>
      </c>
      <c r="E28" t="s">
        <v>46</v>
      </c>
    </row>
    <row r="34" spans="1:11" ht="15.75" thickBot="1"/>
    <row r="35" spans="1:11" ht="21.75" thickBot="1">
      <c r="A35" s="92" t="s">
        <v>0</v>
      </c>
      <c r="B35" s="92"/>
      <c r="C35" s="91">
        <f>C1</f>
        <v>45491</v>
      </c>
      <c r="D35" s="91"/>
      <c r="E35" s="91"/>
      <c r="G35" s="63" t="s">
        <v>1</v>
      </c>
      <c r="H35" s="64">
        <f>H1</f>
        <v>45536</v>
      </c>
      <c r="K35" s="19" t="s">
        <v>55</v>
      </c>
    </row>
    <row r="37" spans="1:11" ht="15.75" thickBot="1">
      <c r="A37" s="17" t="s">
        <v>138</v>
      </c>
      <c r="B37" s="17"/>
      <c r="D37" s="17" t="s">
        <v>139</v>
      </c>
      <c r="E37" s="17"/>
      <c r="G37" s="17" t="s">
        <v>140</v>
      </c>
      <c r="H37" s="17"/>
      <c r="J37" s="18" t="s">
        <v>141</v>
      </c>
      <c r="K37" s="5"/>
    </row>
    <row r="38" spans="1:11">
      <c r="A38" s="39">
        <v>2</v>
      </c>
      <c r="B38" s="2" t="s">
        <v>7</v>
      </c>
      <c r="D38" s="39">
        <v>0</v>
      </c>
      <c r="E38" s="2" t="s">
        <v>61</v>
      </c>
      <c r="G38" s="39">
        <v>2</v>
      </c>
      <c r="H38" s="2" t="s">
        <v>9</v>
      </c>
      <c r="J38" s="39">
        <v>10</v>
      </c>
      <c r="K38" s="2" t="s">
        <v>9</v>
      </c>
    </row>
    <row r="39" spans="1:11">
      <c r="A39" s="39">
        <v>10</v>
      </c>
      <c r="B39" s="2" t="s">
        <v>10</v>
      </c>
      <c r="D39" s="39">
        <v>24</v>
      </c>
      <c r="E39" s="2" t="s">
        <v>62</v>
      </c>
      <c r="G39" s="39">
        <v>6</v>
      </c>
      <c r="H39" s="2" t="s">
        <v>12</v>
      </c>
      <c r="J39" s="39">
        <v>15</v>
      </c>
      <c r="K39" s="2" t="s">
        <v>12</v>
      </c>
    </row>
    <row r="40" spans="1:11">
      <c r="A40" s="39">
        <v>0</v>
      </c>
      <c r="B40" s="2" t="s">
        <v>13</v>
      </c>
      <c r="D40" s="39">
        <v>1</v>
      </c>
      <c r="E40" s="2" t="s">
        <v>63</v>
      </c>
      <c r="G40" s="39">
        <v>0</v>
      </c>
      <c r="H40" s="2" t="s">
        <v>15</v>
      </c>
      <c r="J40" s="39">
        <v>0</v>
      </c>
      <c r="K40" s="2" t="s">
        <v>15</v>
      </c>
    </row>
    <row r="41" spans="1:11">
      <c r="A41" s="39">
        <v>0</v>
      </c>
      <c r="B41" s="2" t="s">
        <v>16</v>
      </c>
      <c r="D41" s="39">
        <v>25</v>
      </c>
      <c r="E41" s="2" t="s">
        <v>17</v>
      </c>
      <c r="G41" s="39">
        <v>1</v>
      </c>
      <c r="H41" s="2" t="s">
        <v>18</v>
      </c>
      <c r="J41" s="39">
        <v>2</v>
      </c>
      <c r="K41" s="2" t="s">
        <v>18</v>
      </c>
    </row>
    <row r="42" spans="1:11">
      <c r="A42" s="39">
        <v>5</v>
      </c>
      <c r="B42" s="2" t="s">
        <v>19</v>
      </c>
      <c r="D42" s="39">
        <v>24</v>
      </c>
      <c r="E42" s="2" t="s">
        <v>65</v>
      </c>
      <c r="G42" s="39">
        <v>0</v>
      </c>
      <c r="H42" s="2" t="s">
        <v>21</v>
      </c>
      <c r="J42" s="39">
        <v>2</v>
      </c>
      <c r="K42" s="2" t="s">
        <v>21</v>
      </c>
    </row>
    <row r="43" spans="1:11">
      <c r="A43" s="39">
        <v>5</v>
      </c>
      <c r="B43" s="2" t="s">
        <v>22</v>
      </c>
      <c r="D43" s="39">
        <v>8</v>
      </c>
      <c r="E43" s="16" t="s">
        <v>22</v>
      </c>
      <c r="G43" s="39">
        <v>24</v>
      </c>
      <c r="H43" s="2" t="s">
        <v>24</v>
      </c>
      <c r="J43" s="39">
        <v>20</v>
      </c>
      <c r="K43" s="2" t="s">
        <v>24</v>
      </c>
    </row>
    <row r="44" spans="1:11">
      <c r="A44" s="39">
        <v>20</v>
      </c>
      <c r="B44" s="2" t="s">
        <v>23</v>
      </c>
      <c r="D44" s="39">
        <f>SUM(D38:D43)</f>
        <v>82</v>
      </c>
      <c r="E44" s="2" t="s">
        <v>25</v>
      </c>
      <c r="G44" s="39">
        <v>0</v>
      </c>
      <c r="H44" s="2" t="s">
        <v>26</v>
      </c>
      <c r="J44" s="39">
        <v>2</v>
      </c>
      <c r="K44" s="2" t="s">
        <v>26</v>
      </c>
    </row>
    <row r="45" spans="1:11">
      <c r="A45" s="39">
        <v>0</v>
      </c>
      <c r="B45" s="2" t="s">
        <v>27</v>
      </c>
      <c r="D45" s="2"/>
      <c r="G45" s="39">
        <v>0</v>
      </c>
      <c r="H45" s="2" t="s">
        <v>28</v>
      </c>
      <c r="J45" s="39">
        <v>0</v>
      </c>
      <c r="K45" s="2" t="s">
        <v>28</v>
      </c>
    </row>
    <row r="46" spans="1:11">
      <c r="A46" s="39">
        <v>6</v>
      </c>
      <c r="B46" s="2" t="s">
        <v>29</v>
      </c>
      <c r="D46" s="2" t="s">
        <v>30</v>
      </c>
      <c r="E46" s="16">
        <v>4869406225</v>
      </c>
      <c r="G46" s="39">
        <v>0</v>
      </c>
      <c r="H46" s="2" t="s">
        <v>31</v>
      </c>
      <c r="J46" s="39">
        <v>0</v>
      </c>
      <c r="K46" s="2" t="s">
        <v>31</v>
      </c>
    </row>
    <row r="47" spans="1:11">
      <c r="A47" s="39">
        <v>0</v>
      </c>
      <c r="B47" s="2" t="s">
        <v>32</v>
      </c>
      <c r="G47" s="39">
        <v>24</v>
      </c>
      <c r="H47" s="16" t="s">
        <v>33</v>
      </c>
      <c r="J47" s="39">
        <v>35</v>
      </c>
      <c r="K47" s="16" t="s">
        <v>33</v>
      </c>
    </row>
    <row r="48" spans="1:11">
      <c r="A48" s="39">
        <v>0</v>
      </c>
      <c r="B48" s="2" t="s">
        <v>34</v>
      </c>
      <c r="G48" s="39">
        <f>SUM(G38:G47)</f>
        <v>57</v>
      </c>
      <c r="H48" s="2" t="s">
        <v>25</v>
      </c>
      <c r="J48" s="39">
        <f>SUM(J38:J47)</f>
        <v>86</v>
      </c>
      <c r="K48" s="2" t="s">
        <v>25</v>
      </c>
    </row>
    <row r="49" spans="1:11" ht="15.75" thickBot="1">
      <c r="A49" s="39">
        <v>0</v>
      </c>
      <c r="B49" s="2" t="s">
        <v>36</v>
      </c>
      <c r="D49" s="17" t="s">
        <v>142</v>
      </c>
      <c r="E49" s="17"/>
      <c r="K49" s="2"/>
    </row>
    <row r="50" spans="1:11">
      <c r="A50" s="39">
        <v>0</v>
      </c>
      <c r="B50" s="2" t="s">
        <v>78</v>
      </c>
      <c r="D50" s="39">
        <v>50</v>
      </c>
      <c r="E50" s="2" t="s">
        <v>37</v>
      </c>
      <c r="G50" s="2" t="s">
        <v>30</v>
      </c>
      <c r="H50" s="16">
        <v>1859</v>
      </c>
      <c r="J50" s="2" t="s">
        <v>30</v>
      </c>
      <c r="K50" s="16">
        <v>7472</v>
      </c>
    </row>
    <row r="51" spans="1:11">
      <c r="A51" s="39">
        <v>0</v>
      </c>
      <c r="B51" s="2" t="s">
        <v>79</v>
      </c>
      <c r="D51" s="39">
        <v>0</v>
      </c>
      <c r="E51" s="2" t="s">
        <v>14</v>
      </c>
      <c r="F51" s="2"/>
    </row>
    <row r="52" spans="1:11">
      <c r="A52" s="39">
        <v>0</v>
      </c>
      <c r="B52" s="2" t="s">
        <v>40</v>
      </c>
      <c r="D52" s="39">
        <v>0</v>
      </c>
      <c r="E52" s="16" t="s">
        <v>40</v>
      </c>
    </row>
    <row r="53" spans="1:11">
      <c r="A53" s="39">
        <v>0</v>
      </c>
      <c r="B53" s="2" t="s">
        <v>42</v>
      </c>
      <c r="D53" s="39">
        <f>SUM(D50:D52)</f>
        <v>50</v>
      </c>
      <c r="E53" s="2" t="s">
        <v>25</v>
      </c>
    </row>
    <row r="54" spans="1:11" ht="15.75" thickBot="1">
      <c r="A54" s="39">
        <v>0</v>
      </c>
      <c r="B54" s="16" t="s">
        <v>43</v>
      </c>
      <c r="H54" s="4"/>
      <c r="J54" s="17" t="s">
        <v>143</v>
      </c>
      <c r="K54" s="5"/>
    </row>
    <row r="55" spans="1:11">
      <c r="A55" s="39">
        <f>SUM(A38:A54)</f>
        <v>48</v>
      </c>
      <c r="B55" s="2" t="s">
        <v>25</v>
      </c>
      <c r="H55" s="4"/>
      <c r="J55" s="39">
        <v>1</v>
      </c>
      <c r="K55" t="s">
        <v>46</v>
      </c>
    </row>
    <row r="56" spans="1:11" ht="15.75" thickBot="1">
      <c r="D56" s="17" t="s">
        <v>144</v>
      </c>
      <c r="E56" s="17"/>
      <c r="H56" s="2"/>
    </row>
    <row r="57" spans="1:11">
      <c r="B57" s="4"/>
      <c r="D57" s="39">
        <v>0</v>
      </c>
      <c r="E57" s="2" t="s">
        <v>37</v>
      </c>
      <c r="H57" s="2"/>
    </row>
    <row r="58" spans="1:11">
      <c r="A58" s="4"/>
      <c r="B58" s="4"/>
      <c r="C58" s="4"/>
      <c r="D58" s="39">
        <v>0</v>
      </c>
      <c r="E58" s="2" t="s">
        <v>14</v>
      </c>
      <c r="I58" s="6"/>
    </row>
    <row r="59" spans="1:11">
      <c r="A59" s="4"/>
      <c r="B59" s="4"/>
      <c r="C59" s="4"/>
      <c r="D59" s="39">
        <v>0</v>
      </c>
      <c r="E59" s="16" t="s">
        <v>40</v>
      </c>
      <c r="F59" s="4"/>
      <c r="I59" s="2"/>
    </row>
    <row r="60" spans="1:11">
      <c r="A60" s="8"/>
      <c r="B60" s="7"/>
      <c r="C60" s="9"/>
      <c r="D60" s="39">
        <f>SUM(D57:D59)</f>
        <v>0</v>
      </c>
      <c r="E60" s="2" t="s">
        <v>25</v>
      </c>
      <c r="I60" s="2"/>
    </row>
    <row r="61" spans="1:11">
      <c r="C61" s="10"/>
      <c r="D61" s="2"/>
      <c r="I61" s="2"/>
    </row>
    <row r="62" spans="1:11">
      <c r="C62" s="10"/>
      <c r="I62" s="2"/>
    </row>
    <row r="63" spans="1:11">
      <c r="A63" s="4"/>
      <c r="B63" s="4"/>
      <c r="I63" s="2"/>
    </row>
    <row r="64" spans="1:11">
      <c r="A64" s="4"/>
      <c r="B64" s="4"/>
      <c r="I64" s="2"/>
    </row>
    <row r="65" spans="1:11">
      <c r="A65" s="9"/>
      <c r="B65" s="7"/>
      <c r="I65" s="2"/>
    </row>
    <row r="66" spans="1:11">
      <c r="I66" s="2"/>
    </row>
    <row r="69" spans="1:11" ht="21">
      <c r="A69" s="19" t="s">
        <v>66</v>
      </c>
    </row>
    <row r="71" spans="1:11" ht="15.75" thickBot="1">
      <c r="A71" s="30" t="s">
        <v>67</v>
      </c>
      <c r="B71" s="5"/>
      <c r="C71" s="34" t="s">
        <v>68</v>
      </c>
      <c r="D71" s="30" t="s">
        <v>69</v>
      </c>
      <c r="E71" s="5"/>
      <c r="G71" s="30" t="s">
        <v>70</v>
      </c>
      <c r="H71" s="5"/>
      <c r="J71" s="30" t="s">
        <v>71</v>
      </c>
      <c r="K71" s="5"/>
    </row>
    <row r="72" spans="1:11">
      <c r="A72" s="31">
        <f>A4+D4+A38</f>
        <v>3</v>
      </c>
      <c r="B72" s="2" t="s">
        <v>7</v>
      </c>
      <c r="C72" s="35">
        <f>D72*15</f>
        <v>270</v>
      </c>
      <c r="D72" s="36">
        <f t="shared" ref="D72:D81" si="0">J4+G38+J38</f>
        <v>18</v>
      </c>
      <c r="E72" s="2" t="s">
        <v>9</v>
      </c>
      <c r="G72" s="13">
        <f>G4+D38</f>
        <v>2</v>
      </c>
      <c r="H72" s="2" t="s">
        <v>8</v>
      </c>
      <c r="J72" s="13">
        <f>A9+D8+G9+A43+D43</f>
        <v>34</v>
      </c>
      <c r="K72" s="2" t="s">
        <v>22</v>
      </c>
    </row>
    <row r="73" spans="1:11">
      <c r="A73" s="26">
        <f>A5+D5+A39</f>
        <v>20</v>
      </c>
      <c r="B73" s="2" t="s">
        <v>10</v>
      </c>
      <c r="C73" s="35">
        <f t="shared" ref="C73:C79" si="1">D73*15</f>
        <v>405</v>
      </c>
      <c r="D73" s="37">
        <f t="shared" si="0"/>
        <v>27</v>
      </c>
      <c r="E73" s="2" t="s">
        <v>12</v>
      </c>
      <c r="G73" s="47">
        <f>G5+G15+D50+D39+D57</f>
        <v>108</v>
      </c>
      <c r="H73" s="2" t="s">
        <v>11</v>
      </c>
      <c r="J73" s="13">
        <f>A10+D9+G8+A44+D42</f>
        <v>76</v>
      </c>
      <c r="K73" s="2" t="s">
        <v>23</v>
      </c>
    </row>
    <row r="74" spans="1:11">
      <c r="A74" s="26">
        <f>A6+D6+A40</f>
        <v>0</v>
      </c>
      <c r="B74" s="2" t="s">
        <v>13</v>
      </c>
      <c r="C74" s="35">
        <f t="shared" si="1"/>
        <v>0</v>
      </c>
      <c r="D74" s="37">
        <f t="shared" si="0"/>
        <v>0</v>
      </c>
      <c r="E74" s="2" t="s">
        <v>15</v>
      </c>
      <c r="G74" s="13">
        <f>G6+G16+D51+D40+D58</f>
        <v>4</v>
      </c>
      <c r="H74" s="2" t="s">
        <v>14</v>
      </c>
      <c r="J74" s="13">
        <f>A11+D10+A45</f>
        <v>6</v>
      </c>
      <c r="K74" s="2" t="s">
        <v>27</v>
      </c>
    </row>
    <row r="75" spans="1:11">
      <c r="A75" s="26">
        <f>A7+D7+A41</f>
        <v>0</v>
      </c>
      <c r="B75" s="2" t="s">
        <v>16</v>
      </c>
      <c r="C75" s="35">
        <f t="shared" si="1"/>
        <v>60</v>
      </c>
      <c r="D75" s="37">
        <f t="shared" si="0"/>
        <v>4</v>
      </c>
      <c r="E75" s="2" t="s">
        <v>18</v>
      </c>
      <c r="G75" s="14">
        <f>G7+D41</f>
        <v>29</v>
      </c>
      <c r="H75" s="2" t="s">
        <v>101</v>
      </c>
      <c r="J75" s="47">
        <f>A28</f>
        <v>9</v>
      </c>
      <c r="K75" s="2" t="s">
        <v>72</v>
      </c>
    </row>
    <row r="76" spans="1:11">
      <c r="A76" s="26">
        <f>A8+A42</f>
        <v>15</v>
      </c>
      <c r="B76" s="2" t="s">
        <v>19</v>
      </c>
      <c r="C76" s="35">
        <f>D76*12</f>
        <v>24</v>
      </c>
      <c r="D76" s="37">
        <f t="shared" si="0"/>
        <v>2</v>
      </c>
      <c r="E76" s="2" t="s">
        <v>21</v>
      </c>
      <c r="J76" s="13">
        <f>A12+A46</f>
        <v>6</v>
      </c>
      <c r="K76" s="2" t="s">
        <v>29</v>
      </c>
    </row>
    <row r="77" spans="1:11">
      <c r="A77" s="26">
        <f>A13+A47</f>
        <v>0</v>
      </c>
      <c r="B77" s="2" t="s">
        <v>32</v>
      </c>
      <c r="C77" s="35">
        <f>D77*10</f>
        <v>500</v>
      </c>
      <c r="D77" s="37">
        <f t="shared" si="0"/>
        <v>50</v>
      </c>
      <c r="E77" s="2" t="s">
        <v>24</v>
      </c>
      <c r="J77" s="13"/>
      <c r="K77" s="2" t="s">
        <v>73</v>
      </c>
    </row>
    <row r="78" spans="1:11">
      <c r="B78" s="2"/>
      <c r="C78" s="35">
        <f t="shared" si="1"/>
        <v>30</v>
      </c>
      <c r="D78" s="37">
        <f t="shared" si="0"/>
        <v>2</v>
      </c>
      <c r="E78" s="2" t="s">
        <v>26</v>
      </c>
      <c r="J78" s="14">
        <f>J55+A25+D25+D28</f>
        <v>4</v>
      </c>
      <c r="K78" s="2" t="s">
        <v>46</v>
      </c>
    </row>
    <row r="79" spans="1:11">
      <c r="B79" s="2"/>
      <c r="C79" s="35">
        <f t="shared" si="1"/>
        <v>0</v>
      </c>
      <c r="D79" s="37">
        <f t="shared" si="0"/>
        <v>0</v>
      </c>
      <c r="E79" s="2" t="s">
        <v>28</v>
      </c>
      <c r="J79" s="14"/>
      <c r="K79" s="2" t="s">
        <v>53</v>
      </c>
    </row>
    <row r="80" spans="1:11">
      <c r="B80" s="2"/>
      <c r="C80" s="35">
        <f>D80*8</f>
        <v>16</v>
      </c>
      <c r="D80" s="37">
        <f t="shared" si="0"/>
        <v>2</v>
      </c>
      <c r="E80" s="2" t="s">
        <v>31</v>
      </c>
    </row>
    <row r="81" spans="1:11">
      <c r="C81" s="35">
        <f>D81*8</f>
        <v>504</v>
      </c>
      <c r="D81" s="37">
        <f t="shared" si="0"/>
        <v>63</v>
      </c>
      <c r="E81" s="2" t="s">
        <v>33</v>
      </c>
    </row>
    <row r="86" spans="1:11" ht="15.75" thickBot="1">
      <c r="A86" s="30" t="s">
        <v>74</v>
      </c>
      <c r="B86" s="5"/>
      <c r="F86" s="34" t="s">
        <v>68</v>
      </c>
      <c r="G86" s="30" t="s">
        <v>75</v>
      </c>
      <c r="H86" s="5"/>
      <c r="J86" s="5" t="s">
        <v>76</v>
      </c>
      <c r="K86" s="30" t="s">
        <v>77</v>
      </c>
    </row>
    <row r="87" spans="1:11">
      <c r="A87" s="13">
        <f>A14+A48</f>
        <v>0</v>
      </c>
      <c r="B87" s="2" t="s">
        <v>34</v>
      </c>
      <c r="F87" s="35">
        <f>G87*15</f>
        <v>0</v>
      </c>
      <c r="G87" s="26">
        <f>A74</f>
        <v>0</v>
      </c>
      <c r="H87" s="2" t="s">
        <v>13</v>
      </c>
      <c r="J87" s="15">
        <f>IF(MOD((A4),24)=0,(A4)/24,0)+IF(MOD((A38),24)=0,(A38)/24,0)</f>
        <v>0</v>
      </c>
      <c r="K87" t="s">
        <v>7</v>
      </c>
    </row>
    <row r="88" spans="1:11">
      <c r="A88" s="13">
        <f>A15+A49</f>
        <v>0</v>
      </c>
      <c r="B88" s="2" t="s">
        <v>36</v>
      </c>
      <c r="F88" s="35">
        <f t="shared" ref="F88:F90" si="2">G88*15</f>
        <v>0</v>
      </c>
      <c r="G88" s="21">
        <f>A77</f>
        <v>0</v>
      </c>
      <c r="H88" s="2" t="s">
        <v>32</v>
      </c>
      <c r="J88" s="14">
        <f>IF(MOD((A5),24)=0,(A5)/24,0)+IF(MOD((A39),24)=0,(A39)/24,0)</f>
        <v>0</v>
      </c>
      <c r="K88" t="s">
        <v>10</v>
      </c>
    </row>
    <row r="89" spans="1:11">
      <c r="A89" s="13">
        <f>A16+A50</f>
        <v>0</v>
      </c>
      <c r="B89" s="2" t="s">
        <v>78</v>
      </c>
      <c r="F89" s="35">
        <f>G89*10</f>
        <v>60</v>
      </c>
      <c r="G89" s="29">
        <f>J74</f>
        <v>6</v>
      </c>
      <c r="H89" s="2" t="s">
        <v>27</v>
      </c>
      <c r="J89" s="14">
        <f>IF(MOD((A8),20)=0,(A8)/20,0)+IF(MOD((A42),20)=0,(A42)/20,0)</f>
        <v>0</v>
      </c>
      <c r="K89" s="2" t="s">
        <v>19</v>
      </c>
    </row>
    <row r="90" spans="1:11">
      <c r="A90" s="13">
        <f>A17+A51</f>
        <v>0</v>
      </c>
      <c r="B90" s="2" t="s">
        <v>79</v>
      </c>
      <c r="F90" s="35">
        <f t="shared" si="2"/>
        <v>0</v>
      </c>
      <c r="G90" s="26">
        <f>A75</f>
        <v>0</v>
      </c>
      <c r="H90" s="2" t="s">
        <v>16</v>
      </c>
      <c r="J90" s="14">
        <f>IF(MOD((G4),24)=0,(G4)/24,0)+IF(MOD((D38),24)=0,(D38)/24,0)</f>
        <v>0</v>
      </c>
      <c r="K90" s="2" t="s">
        <v>8</v>
      </c>
    </row>
    <row r="91" spans="1:11">
      <c r="A91" s="13">
        <f>A18+A52+G17+D52+D59</f>
        <v>0</v>
      </c>
      <c r="B91" s="2" t="s">
        <v>40</v>
      </c>
      <c r="F91" s="35">
        <f>G91*15</f>
        <v>60</v>
      </c>
      <c r="G91" s="21">
        <f>G74</f>
        <v>4</v>
      </c>
      <c r="H91" s="2" t="s">
        <v>14</v>
      </c>
      <c r="J91" s="14">
        <f>IF(MOD((G5),24)=0,(G5)/24,0)+IF(MOD((D39),24)=0,(D39)/24,0)</f>
        <v>1</v>
      </c>
      <c r="K91" s="2" t="s">
        <v>11</v>
      </c>
    </row>
    <row r="92" spans="1:11">
      <c r="A92" s="13">
        <f>A19+A53</f>
        <v>0</v>
      </c>
      <c r="B92" s="2" t="s">
        <v>42</v>
      </c>
      <c r="F92" s="35">
        <f>G92*5</f>
        <v>75</v>
      </c>
      <c r="G92" s="21">
        <f>A76</f>
        <v>15</v>
      </c>
      <c r="H92" s="2" t="s">
        <v>80</v>
      </c>
      <c r="J92" s="14">
        <f>IF(MOD((G7),13)=0,(G7)/13,0)+IF(MOD((D41),13)=0,(D41)/13,0)</f>
        <v>0</v>
      </c>
      <c r="K92" s="2" t="s">
        <v>17</v>
      </c>
    </row>
    <row r="93" spans="1:11">
      <c r="A93" s="13">
        <f>A20+A54</f>
        <v>0</v>
      </c>
      <c r="B93" s="2" t="s">
        <v>43</v>
      </c>
      <c r="F93" s="35">
        <f>G93*8</f>
        <v>232</v>
      </c>
      <c r="G93" s="21">
        <f>G75</f>
        <v>29</v>
      </c>
      <c r="H93" s="2" t="s">
        <v>17</v>
      </c>
      <c r="J93" s="14">
        <f>IF(MOD((A10),24)=0,(A10)/24,0)+IF(MOD((G8),24)=0,(G8)/24,0)+IF(MOD((A44),24)=0,(A44)/24,0)+IF(MOD((D42),24)=0,(D42)/24,0)</f>
        <v>1</v>
      </c>
      <c r="K93" s="2" t="s">
        <v>23</v>
      </c>
    </row>
    <row r="94" spans="1:11">
      <c r="A94" s="4"/>
      <c r="B94" s="4"/>
      <c r="I94" s="2"/>
      <c r="J94" s="14">
        <f>IF(MOD((A11),24)=0,(A11)/24,0)+IF(MOD((A45),24)=0,(A45)/24,0)</f>
        <v>0</v>
      </c>
      <c r="K94" s="2" t="s">
        <v>27</v>
      </c>
    </row>
  </sheetData>
  <mergeCells count="4">
    <mergeCell ref="C1:E1"/>
    <mergeCell ref="A1:B1"/>
    <mergeCell ref="A35:B35"/>
    <mergeCell ref="C35:E35"/>
  </mergeCells>
  <conditionalFormatting sqref="A4:A5">
    <cfRule type="cellIs" dxfId="167" priority="122" operator="equal">
      <formula>120</formula>
    </cfRule>
    <cfRule type="cellIs" dxfId="166" priority="121" operator="equal">
      <formula>144</formula>
    </cfRule>
    <cfRule type="cellIs" dxfId="165" priority="126" operator="equal">
      <formula>48</formula>
    </cfRule>
    <cfRule type="cellIs" dxfId="164" priority="120" operator="equal">
      <formula>168</formula>
    </cfRule>
    <cfRule type="cellIs" dxfId="163" priority="123" operator="equal">
      <formula>72</formula>
    </cfRule>
    <cfRule type="cellIs" dxfId="162" priority="124" operator="equal">
      <formula>96</formula>
    </cfRule>
    <cfRule type="cellIs" dxfId="161" priority="125" operator="equal">
      <formula>24</formula>
    </cfRule>
  </conditionalFormatting>
  <conditionalFormatting sqref="A8">
    <cfRule type="cellIs" dxfId="160" priority="113" operator="equal">
      <formula>20</formula>
    </cfRule>
    <cfRule type="cellIs" dxfId="159" priority="119" operator="equal">
      <formula>140</formula>
    </cfRule>
    <cfRule type="cellIs" dxfId="158" priority="116" operator="equal">
      <formula>80</formula>
    </cfRule>
    <cfRule type="cellIs" dxfId="157" priority="118" operator="equal">
      <formula>120</formula>
    </cfRule>
    <cfRule type="cellIs" dxfId="156" priority="117" operator="equal">
      <formula>100</formula>
    </cfRule>
    <cfRule type="cellIs" dxfId="155" priority="115" operator="equal">
      <formula>60</formula>
    </cfRule>
    <cfRule type="cellIs" dxfId="154" priority="114" operator="equal">
      <formula>40</formula>
    </cfRule>
  </conditionalFormatting>
  <conditionalFormatting sqref="A10:A11">
    <cfRule type="cellIs" dxfId="153" priority="112" operator="equal">
      <formula>48</formula>
    </cfRule>
    <cfRule type="cellIs" dxfId="152" priority="111" operator="equal">
      <formula>24</formula>
    </cfRule>
    <cfRule type="cellIs" dxfId="151" priority="110" operator="equal">
      <formula>96</formula>
    </cfRule>
    <cfRule type="cellIs" dxfId="150" priority="109" operator="equal">
      <formula>72</formula>
    </cfRule>
    <cfRule type="cellIs" dxfId="149" priority="108" operator="equal">
      <formula>120</formula>
    </cfRule>
    <cfRule type="cellIs" dxfId="148" priority="107" operator="equal">
      <formula>144</formula>
    </cfRule>
    <cfRule type="cellIs" dxfId="147" priority="106" operator="equal">
      <formula>168</formula>
    </cfRule>
  </conditionalFormatting>
  <conditionalFormatting sqref="A38:A39">
    <cfRule type="cellIs" dxfId="146" priority="42" operator="equal">
      <formula>48</formula>
    </cfRule>
    <cfRule type="cellIs" dxfId="145" priority="37" operator="equal">
      <formula>144</formula>
    </cfRule>
    <cfRule type="cellIs" dxfId="144" priority="38" operator="equal">
      <formula>120</formula>
    </cfRule>
    <cfRule type="cellIs" dxfId="143" priority="39" operator="equal">
      <formula>72</formula>
    </cfRule>
    <cfRule type="cellIs" dxfId="142" priority="40" operator="equal">
      <formula>96</formula>
    </cfRule>
    <cfRule type="cellIs" dxfId="141" priority="41" operator="equal">
      <formula>24</formula>
    </cfRule>
    <cfRule type="cellIs" dxfId="140" priority="36" operator="equal">
      <formula>168</formula>
    </cfRule>
  </conditionalFormatting>
  <conditionalFormatting sqref="A42">
    <cfRule type="cellIs" dxfId="139" priority="33" operator="equal">
      <formula>100</formula>
    </cfRule>
    <cfRule type="cellIs" dxfId="138" priority="34" operator="equal">
      <formula>120</formula>
    </cfRule>
    <cfRule type="cellIs" dxfId="137" priority="35" operator="equal">
      <formula>140</formula>
    </cfRule>
    <cfRule type="cellIs" dxfId="136" priority="31" operator="equal">
      <formula>60</formula>
    </cfRule>
    <cfRule type="cellIs" dxfId="135" priority="29" operator="equal">
      <formula>20</formula>
    </cfRule>
    <cfRule type="cellIs" dxfId="134" priority="30" operator="equal">
      <formula>40</formula>
    </cfRule>
    <cfRule type="cellIs" dxfId="133" priority="32" operator="equal">
      <formula>80</formula>
    </cfRule>
  </conditionalFormatting>
  <conditionalFormatting sqref="A44:A45">
    <cfRule type="cellIs" dxfId="132" priority="24" operator="equal">
      <formula>120</formula>
    </cfRule>
    <cfRule type="cellIs" dxfId="131" priority="23" operator="equal">
      <formula>144</formula>
    </cfRule>
    <cfRule type="cellIs" dxfId="130" priority="22" operator="equal">
      <formula>168</formula>
    </cfRule>
    <cfRule type="cellIs" dxfId="129" priority="28" operator="equal">
      <formula>48</formula>
    </cfRule>
    <cfRule type="cellIs" dxfId="128" priority="26" operator="equal">
      <formula>96</formula>
    </cfRule>
    <cfRule type="cellIs" dxfId="127" priority="27" operator="equal">
      <formula>24</formula>
    </cfRule>
    <cfRule type="cellIs" dxfId="126" priority="25" operator="equal">
      <formula>72</formula>
    </cfRule>
  </conditionalFormatting>
  <conditionalFormatting sqref="D38:D39">
    <cfRule type="cellIs" dxfId="125" priority="14" operator="equal">
      <formula>48</formula>
    </cfRule>
    <cfRule type="cellIs" dxfId="124" priority="13" operator="equal">
      <formula>24</formula>
    </cfRule>
    <cfRule type="cellIs" dxfId="123" priority="12" operator="equal">
      <formula>96</formula>
    </cfRule>
    <cfRule type="cellIs" dxfId="122" priority="10" operator="equal">
      <formula>120</formula>
    </cfRule>
    <cfRule type="cellIs" dxfId="121" priority="11" operator="equal">
      <formula>72</formula>
    </cfRule>
    <cfRule type="cellIs" dxfId="120" priority="9" operator="equal">
      <formula>144</formula>
    </cfRule>
    <cfRule type="cellIs" dxfId="119" priority="8" operator="equal">
      <formula>168</formula>
    </cfRule>
  </conditionalFormatting>
  <conditionalFormatting sqref="D41">
    <cfRule type="cellIs" dxfId="118" priority="1" operator="equal">
      <formula>13</formula>
    </cfRule>
    <cfRule type="cellIs" dxfId="117" priority="2" operator="equal">
      <formula>26</formula>
    </cfRule>
    <cfRule type="cellIs" dxfId="116" priority="3" operator="equal">
      <formula>39</formula>
    </cfRule>
    <cfRule type="cellIs" dxfId="115" priority="4" operator="equal">
      <formula>52</formula>
    </cfRule>
    <cfRule type="cellIs" dxfId="114" priority="5" operator="equal">
      <formula>65</formula>
    </cfRule>
    <cfRule type="cellIs" dxfId="113" priority="6" operator="equal">
      <formula>78</formula>
    </cfRule>
    <cfRule type="cellIs" dxfId="112" priority="7" operator="equal">
      <formula>91</formula>
    </cfRule>
  </conditionalFormatting>
  <conditionalFormatting sqref="D42">
    <cfRule type="cellIs" dxfId="111" priority="21" operator="equal">
      <formula>48</formula>
    </cfRule>
    <cfRule type="cellIs" dxfId="110" priority="20" operator="equal">
      <formula>24</formula>
    </cfRule>
    <cfRule type="cellIs" dxfId="109" priority="19" operator="equal">
      <formula>96</formula>
    </cfRule>
    <cfRule type="cellIs" dxfId="108" priority="18" operator="equal">
      <formula>72</formula>
    </cfRule>
    <cfRule type="cellIs" dxfId="107" priority="17" operator="equal">
      <formula>120</formula>
    </cfRule>
    <cfRule type="cellIs" dxfId="106" priority="16" operator="equal">
      <formula>144</formula>
    </cfRule>
    <cfRule type="cellIs" dxfId="105" priority="15" operator="equal">
      <formula>168</formula>
    </cfRule>
  </conditionalFormatting>
  <conditionalFormatting sqref="G4:G5">
    <cfRule type="cellIs" dxfId="104" priority="95" operator="equal">
      <formula>72</formula>
    </cfRule>
    <cfRule type="cellIs" dxfId="103" priority="92" operator="equal">
      <formula>168</formula>
    </cfRule>
    <cfRule type="cellIs" dxfId="102" priority="93" operator="equal">
      <formula>144</formula>
    </cfRule>
    <cfRule type="cellIs" dxfId="101" priority="94" operator="equal">
      <formula>120</formula>
    </cfRule>
    <cfRule type="cellIs" dxfId="100" priority="96" operator="equal">
      <formula>96</formula>
    </cfRule>
    <cfRule type="cellIs" dxfId="99" priority="97" operator="equal">
      <formula>24</formula>
    </cfRule>
    <cfRule type="cellIs" dxfId="98" priority="98" operator="equal">
      <formula>48</formula>
    </cfRule>
  </conditionalFormatting>
  <conditionalFormatting sqref="G7">
    <cfRule type="cellIs" dxfId="97" priority="99" operator="equal">
      <formula>13</formula>
    </cfRule>
    <cfRule type="cellIs" dxfId="96" priority="100" operator="equal">
      <formula>26</formula>
    </cfRule>
    <cfRule type="cellIs" dxfId="95" priority="101" operator="equal">
      <formula>39</formula>
    </cfRule>
    <cfRule type="cellIs" dxfId="94" priority="102" operator="equal">
      <formula>52</formula>
    </cfRule>
    <cfRule type="cellIs" dxfId="93" priority="103" operator="equal">
      <formula>65</formula>
    </cfRule>
    <cfRule type="cellIs" dxfId="92" priority="104" operator="equal">
      <formula>78</formula>
    </cfRule>
    <cfRule type="cellIs" dxfId="91" priority="105" operator="equal">
      <formula>91</formula>
    </cfRule>
  </conditionalFormatting>
  <conditionalFormatting sqref="G8">
    <cfRule type="cellIs" dxfId="90" priority="86" operator="equal">
      <formula>144</formula>
    </cfRule>
    <cfRule type="cellIs" dxfId="89" priority="87" operator="equal">
      <formula>120</formula>
    </cfRule>
    <cfRule type="cellIs" dxfId="88" priority="88" operator="equal">
      <formula>72</formula>
    </cfRule>
    <cfRule type="cellIs" dxfId="87" priority="89" operator="equal">
      <formula>96</formula>
    </cfRule>
    <cfRule type="cellIs" dxfId="86" priority="90" operator="equal">
      <formula>24</formula>
    </cfRule>
    <cfRule type="cellIs" dxfId="85" priority="91" operator="equal">
      <formula>48</formula>
    </cfRule>
    <cfRule type="cellIs" dxfId="84" priority="85" operator="equal">
      <formula>168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N78"/>
  <sheetViews>
    <sheetView tabSelected="1" view="pageLayout" zoomScale="85" zoomScaleNormal="100" zoomScalePageLayoutView="85" workbookViewId="0">
      <selection activeCell="N21" sqref="N21"/>
    </sheetView>
  </sheetViews>
  <sheetFormatPr defaultRowHeight="15"/>
  <cols>
    <col min="1" max="1" width="6.42578125" customWidth="1"/>
    <col min="2" max="2" width="16.140625" customWidth="1"/>
    <col min="3" max="3" width="7.5703125" customWidth="1"/>
    <col min="4" max="4" width="5" customWidth="1"/>
    <col min="5" max="5" width="16.5703125" customWidth="1"/>
    <col min="6" max="6" width="7.42578125" customWidth="1"/>
    <col min="7" max="7" width="4.85546875" customWidth="1"/>
    <col min="8" max="8" width="15.140625" customWidth="1"/>
    <col min="9" max="9" width="2.5703125" customWidth="1"/>
    <col min="10" max="10" width="5.140625" customWidth="1"/>
    <col min="11" max="11" width="16.140625" customWidth="1"/>
    <col min="12" max="12" width="2.7109375" customWidth="1"/>
    <col min="13" max="13" width="4.140625" customWidth="1"/>
    <col min="14" max="14" width="8.85546875" customWidth="1"/>
    <col min="15" max="15" width="3.28515625" customWidth="1"/>
  </cols>
  <sheetData>
    <row r="1" spans="1:14" ht="18.600000000000001" customHeight="1" thickBot="1">
      <c r="A1" s="92" t="s">
        <v>0</v>
      </c>
      <c r="B1" s="92"/>
      <c r="C1" s="91">
        <f>DATE(2024,1,1)+(Mon!B2-1)*7+4</f>
        <v>45492</v>
      </c>
      <c r="D1" s="91"/>
      <c r="E1" s="91"/>
      <c r="G1" s="63" t="s">
        <v>1</v>
      </c>
      <c r="H1" s="64">
        <f>Mon!C1+49-1</f>
        <v>45536</v>
      </c>
    </row>
    <row r="2" spans="1:14" ht="12.2" customHeight="1"/>
    <row r="3" spans="1:14" ht="12.75" customHeight="1" thickBot="1">
      <c r="A3" s="17" t="s">
        <v>81</v>
      </c>
      <c r="B3" s="17"/>
      <c r="D3" s="17" t="s">
        <v>145</v>
      </c>
      <c r="E3" s="17"/>
      <c r="G3" s="17" t="s">
        <v>146</v>
      </c>
      <c r="H3" s="17"/>
      <c r="J3" s="17" t="s">
        <v>147</v>
      </c>
      <c r="K3" s="27"/>
      <c r="M3" s="17" t="s">
        <v>148</v>
      </c>
      <c r="N3" s="17"/>
    </row>
    <row r="4" spans="1:14" ht="12.75" customHeight="1">
      <c r="A4" s="39">
        <v>1</v>
      </c>
      <c r="B4" s="2" t="s">
        <v>7</v>
      </c>
      <c r="D4" s="39">
        <v>1</v>
      </c>
      <c r="E4" s="2" t="s">
        <v>7</v>
      </c>
      <c r="G4" s="39">
        <v>0</v>
      </c>
      <c r="H4" s="2" t="s">
        <v>7</v>
      </c>
      <c r="J4" s="39">
        <v>0</v>
      </c>
      <c r="K4" s="2" t="s">
        <v>7</v>
      </c>
      <c r="M4" s="39">
        <v>0</v>
      </c>
      <c r="N4" s="2" t="s">
        <v>7</v>
      </c>
    </row>
    <row r="5" spans="1:14" ht="12.75" customHeight="1">
      <c r="A5" s="39">
        <v>24</v>
      </c>
      <c r="B5" s="2" t="s">
        <v>10</v>
      </c>
      <c r="D5" s="39">
        <v>8</v>
      </c>
      <c r="E5" s="2" t="s">
        <v>10</v>
      </c>
      <c r="G5" s="39">
        <v>0</v>
      </c>
      <c r="H5" s="2" t="s">
        <v>10</v>
      </c>
      <c r="J5" s="39">
        <v>0</v>
      </c>
      <c r="K5" s="2" t="s">
        <v>10</v>
      </c>
      <c r="M5" s="39">
        <v>0</v>
      </c>
      <c r="N5" s="2" t="s">
        <v>10</v>
      </c>
    </row>
    <row r="6" spans="1:14" ht="12.75" customHeight="1">
      <c r="A6" s="39">
        <v>1</v>
      </c>
      <c r="B6" s="2" t="s">
        <v>13</v>
      </c>
      <c r="D6" s="39">
        <v>0</v>
      </c>
      <c r="E6" s="2" t="s">
        <v>13</v>
      </c>
      <c r="G6" s="39">
        <v>0</v>
      </c>
      <c r="H6" s="2" t="s">
        <v>13</v>
      </c>
      <c r="J6" s="39">
        <v>0</v>
      </c>
      <c r="K6" s="2" t="s">
        <v>13</v>
      </c>
      <c r="M6" s="39">
        <v>0</v>
      </c>
      <c r="N6" s="2" t="s">
        <v>13</v>
      </c>
    </row>
    <row r="7" spans="1:14" ht="12.75" customHeight="1">
      <c r="A7" s="39">
        <v>2</v>
      </c>
      <c r="B7" s="2" t="s">
        <v>16</v>
      </c>
      <c r="D7" s="39">
        <v>0</v>
      </c>
      <c r="E7" s="2" t="s">
        <v>16</v>
      </c>
      <c r="G7" s="39">
        <v>1</v>
      </c>
      <c r="H7" s="2" t="s">
        <v>16</v>
      </c>
      <c r="J7" s="39">
        <v>0</v>
      </c>
      <c r="K7" s="2" t="s">
        <v>16</v>
      </c>
      <c r="M7" s="39">
        <v>0</v>
      </c>
      <c r="N7" s="2" t="s">
        <v>16</v>
      </c>
    </row>
    <row r="8" spans="1:14" ht="12.75" customHeight="1">
      <c r="A8" s="39">
        <v>60</v>
      </c>
      <c r="B8" s="2" t="s">
        <v>19</v>
      </c>
      <c r="D8" s="39">
        <v>20</v>
      </c>
      <c r="E8" s="2" t="s">
        <v>19</v>
      </c>
      <c r="G8" s="39">
        <v>30</v>
      </c>
      <c r="H8" s="2" t="s">
        <v>19</v>
      </c>
      <c r="J8" s="39">
        <v>4</v>
      </c>
      <c r="K8" s="2" t="s">
        <v>19</v>
      </c>
      <c r="M8" s="39">
        <v>0</v>
      </c>
      <c r="N8" s="2" t="s">
        <v>19</v>
      </c>
    </row>
    <row r="9" spans="1:14" ht="12.75" customHeight="1">
      <c r="A9" s="39">
        <v>8</v>
      </c>
      <c r="B9" s="2" t="s">
        <v>22</v>
      </c>
      <c r="D9" s="39">
        <v>6</v>
      </c>
      <c r="E9" s="2" t="s">
        <v>22</v>
      </c>
      <c r="G9" s="39">
        <v>6</v>
      </c>
      <c r="H9" s="2" t="s">
        <v>22</v>
      </c>
      <c r="J9" s="39">
        <v>2</v>
      </c>
      <c r="K9" s="2" t="s">
        <v>22</v>
      </c>
      <c r="M9" s="39">
        <v>0</v>
      </c>
      <c r="N9" s="2" t="s">
        <v>22</v>
      </c>
    </row>
    <row r="10" spans="1:14" ht="12.75" customHeight="1">
      <c r="A10" s="39">
        <v>6</v>
      </c>
      <c r="B10" s="2" t="s">
        <v>23</v>
      </c>
      <c r="D10" s="39">
        <v>2</v>
      </c>
      <c r="E10" s="2" t="s">
        <v>23</v>
      </c>
      <c r="G10" s="39">
        <v>6</v>
      </c>
      <c r="H10" s="2" t="s">
        <v>23</v>
      </c>
      <c r="J10" s="39">
        <v>4</v>
      </c>
      <c r="K10" s="2" t="s">
        <v>23</v>
      </c>
      <c r="M10" s="39">
        <v>0</v>
      </c>
      <c r="N10" s="2" t="s">
        <v>23</v>
      </c>
    </row>
    <row r="11" spans="1:14" ht="12.75" customHeight="1">
      <c r="A11" s="39">
        <v>5</v>
      </c>
      <c r="B11" s="2" t="s">
        <v>27</v>
      </c>
      <c r="D11" s="39">
        <v>4</v>
      </c>
      <c r="E11" s="2" t="s">
        <v>27</v>
      </c>
      <c r="G11" s="39">
        <v>3</v>
      </c>
      <c r="H11" s="2" t="s">
        <v>27</v>
      </c>
      <c r="J11" s="39">
        <v>0</v>
      </c>
      <c r="K11" s="2" t="s">
        <v>27</v>
      </c>
      <c r="M11" s="39">
        <v>0</v>
      </c>
      <c r="N11" s="2" t="s">
        <v>27</v>
      </c>
    </row>
    <row r="12" spans="1:14" ht="12.75" customHeight="1">
      <c r="A12" s="39">
        <v>5</v>
      </c>
      <c r="B12" s="2" t="s">
        <v>29</v>
      </c>
      <c r="D12" s="39">
        <v>0</v>
      </c>
      <c r="E12" s="2" t="s">
        <v>29</v>
      </c>
      <c r="G12" s="39">
        <v>2</v>
      </c>
      <c r="H12" s="2" t="s">
        <v>29</v>
      </c>
      <c r="J12" s="39">
        <v>0</v>
      </c>
      <c r="K12" s="16" t="s">
        <v>149</v>
      </c>
      <c r="M12" s="39">
        <v>0</v>
      </c>
      <c r="N12" s="16" t="s">
        <v>150</v>
      </c>
    </row>
    <row r="13" spans="1:14" ht="12.75" customHeight="1">
      <c r="A13" s="39">
        <v>0</v>
      </c>
      <c r="B13" s="2" t="s">
        <v>32</v>
      </c>
      <c r="D13" s="39">
        <v>0</v>
      </c>
      <c r="E13" s="2" t="s">
        <v>32</v>
      </c>
      <c r="G13" s="39">
        <v>0</v>
      </c>
      <c r="H13" s="2" t="s">
        <v>32</v>
      </c>
      <c r="J13" s="39">
        <f>SUM(J4:J12)</f>
        <v>10</v>
      </c>
      <c r="K13" s="40" t="s">
        <v>25</v>
      </c>
      <c r="M13" s="39">
        <f>SUM(M4:M12)</f>
        <v>0</v>
      </c>
      <c r="N13" s="22" t="s">
        <v>25</v>
      </c>
    </row>
    <row r="14" spans="1:14" ht="12.75" customHeight="1">
      <c r="A14" s="39">
        <v>2</v>
      </c>
      <c r="B14" s="2" t="s">
        <v>34</v>
      </c>
      <c r="D14" s="39">
        <v>0</v>
      </c>
      <c r="E14" s="2" t="s">
        <v>34</v>
      </c>
      <c r="G14" s="39">
        <v>0</v>
      </c>
      <c r="H14" s="2" t="s">
        <v>34</v>
      </c>
    </row>
    <row r="15" spans="1:14" ht="12.75" customHeight="1">
      <c r="A15" s="39">
        <v>2</v>
      </c>
      <c r="B15" s="2" t="s">
        <v>36</v>
      </c>
      <c r="D15" s="39">
        <v>0</v>
      </c>
      <c r="E15" s="2" t="s">
        <v>36</v>
      </c>
      <c r="F15" s="2"/>
      <c r="G15" s="39">
        <v>0</v>
      </c>
      <c r="H15" s="2" t="s">
        <v>36</v>
      </c>
    </row>
    <row r="16" spans="1:14" ht="12.75" customHeight="1" thickBot="1">
      <c r="A16" s="39">
        <v>1</v>
      </c>
      <c r="B16" s="2" t="s">
        <v>38</v>
      </c>
      <c r="D16" s="39">
        <v>0</v>
      </c>
      <c r="E16" s="2" t="s">
        <v>38</v>
      </c>
      <c r="G16" s="39">
        <v>0</v>
      </c>
      <c r="H16" s="2" t="s">
        <v>38</v>
      </c>
      <c r="J16" s="69" t="s">
        <v>85</v>
      </c>
      <c r="K16" s="73"/>
    </row>
    <row r="17" spans="1:14" ht="12.75" customHeight="1">
      <c r="A17" s="39">
        <v>1</v>
      </c>
      <c r="B17" s="2" t="s">
        <v>39</v>
      </c>
      <c r="D17" s="39">
        <v>0</v>
      </c>
      <c r="E17" s="2" t="s">
        <v>39</v>
      </c>
      <c r="G17" s="39">
        <v>0</v>
      </c>
      <c r="H17" s="2" t="s">
        <v>39</v>
      </c>
      <c r="J17" s="74">
        <v>0</v>
      </c>
      <c r="K17" s="75" t="s">
        <v>29</v>
      </c>
    </row>
    <row r="18" spans="1:14" ht="12.75" customHeight="1">
      <c r="A18" s="39">
        <v>0</v>
      </c>
      <c r="B18" s="2" t="s">
        <v>41</v>
      </c>
      <c r="D18" s="39">
        <v>0</v>
      </c>
      <c r="E18" s="2" t="s">
        <v>41</v>
      </c>
      <c r="G18" s="39">
        <v>0</v>
      </c>
      <c r="H18" s="2" t="s">
        <v>41</v>
      </c>
      <c r="J18" s="76"/>
      <c r="K18" s="75"/>
    </row>
    <row r="19" spans="1:14" ht="12.75" customHeight="1" thickBot="1">
      <c r="A19" s="39">
        <v>2</v>
      </c>
      <c r="B19" s="2" t="s">
        <v>42</v>
      </c>
      <c r="D19" s="39">
        <v>0</v>
      </c>
      <c r="E19" s="2" t="s">
        <v>42</v>
      </c>
      <c r="G19" s="39">
        <v>0</v>
      </c>
      <c r="H19" s="2" t="s">
        <v>42</v>
      </c>
      <c r="J19" s="77" t="s">
        <v>151</v>
      </c>
      <c r="K19" s="78"/>
    </row>
    <row r="20" spans="1:14" ht="12.75" customHeight="1">
      <c r="A20" s="39">
        <v>2</v>
      </c>
      <c r="B20" s="16" t="s">
        <v>152</v>
      </c>
      <c r="D20" s="39">
        <v>0</v>
      </c>
      <c r="E20" s="16" t="s">
        <v>152</v>
      </c>
      <c r="G20" s="39">
        <v>0</v>
      </c>
      <c r="H20" s="16" t="s">
        <v>152</v>
      </c>
      <c r="J20" s="74">
        <v>0</v>
      </c>
      <c r="K20" s="75" t="s">
        <v>29</v>
      </c>
    </row>
    <row r="21" spans="1:14" ht="12.75" customHeight="1">
      <c r="A21" s="39">
        <f>SUM(A4:A20)</f>
        <v>122</v>
      </c>
      <c r="B21" s="22" t="s">
        <v>25</v>
      </c>
      <c r="D21" s="39">
        <f>SUM(D4:D20)</f>
        <v>41</v>
      </c>
      <c r="E21" s="22" t="s">
        <v>25</v>
      </c>
      <c r="G21" s="39">
        <f>SUM(G4:G20)</f>
        <v>48</v>
      </c>
      <c r="H21" s="22" t="s">
        <v>25</v>
      </c>
      <c r="J21" s="76"/>
      <c r="K21" s="75"/>
    </row>
    <row r="22" spans="1:14" ht="12.75" customHeight="1" thickBot="1">
      <c r="J22" s="77" t="s">
        <v>153</v>
      </c>
      <c r="K22" s="78"/>
    </row>
    <row r="23" spans="1:14" ht="12.75" customHeight="1" thickBot="1">
      <c r="A23" s="20" t="s">
        <v>88</v>
      </c>
      <c r="B23" s="5"/>
      <c r="D23" s="20" t="s">
        <v>154</v>
      </c>
      <c r="E23" s="5"/>
      <c r="G23" s="17" t="s">
        <v>155</v>
      </c>
      <c r="H23" s="17"/>
      <c r="J23" s="74">
        <v>5</v>
      </c>
      <c r="K23" s="75" t="s">
        <v>29</v>
      </c>
    </row>
    <row r="24" spans="1:14" ht="12.75" customHeight="1">
      <c r="A24" s="39">
        <v>1</v>
      </c>
      <c r="B24" s="2" t="s">
        <v>8</v>
      </c>
      <c r="D24" s="39">
        <v>2</v>
      </c>
      <c r="E24" s="2" t="s">
        <v>8</v>
      </c>
      <c r="G24" s="39">
        <v>10</v>
      </c>
      <c r="H24" s="2" t="s">
        <v>37</v>
      </c>
      <c r="J24" s="76"/>
      <c r="K24" s="75"/>
    </row>
    <row r="25" spans="1:14" ht="12.75" customHeight="1" thickBot="1">
      <c r="A25" s="39">
        <v>72</v>
      </c>
      <c r="B25" s="2" t="s">
        <v>11</v>
      </c>
      <c r="D25" s="39">
        <v>72</v>
      </c>
      <c r="E25" s="2" t="s">
        <v>11</v>
      </c>
      <c r="G25" s="39">
        <v>0</v>
      </c>
      <c r="H25" s="2" t="s">
        <v>14</v>
      </c>
      <c r="J25" s="77" t="s">
        <v>156</v>
      </c>
      <c r="K25" s="84"/>
    </row>
    <row r="26" spans="1:14" ht="12.75" customHeight="1">
      <c r="A26" s="39">
        <v>1</v>
      </c>
      <c r="B26" s="2" t="s">
        <v>14</v>
      </c>
      <c r="D26" s="39">
        <v>1</v>
      </c>
      <c r="E26" s="2" t="s">
        <v>14</v>
      </c>
      <c r="G26" s="39">
        <v>0</v>
      </c>
      <c r="H26" s="16" t="s">
        <v>41</v>
      </c>
      <c r="J26" s="74">
        <v>16</v>
      </c>
      <c r="K26" s="85" t="s">
        <v>29</v>
      </c>
    </row>
    <row r="27" spans="1:14" ht="12.75" customHeight="1">
      <c r="A27" s="39">
        <v>7</v>
      </c>
      <c r="B27" s="2" t="s">
        <v>17</v>
      </c>
      <c r="D27" s="39">
        <v>0</v>
      </c>
      <c r="E27" s="2" t="s">
        <v>17</v>
      </c>
      <c r="G27" s="39">
        <f>SUM(G24:G26)</f>
        <v>10</v>
      </c>
      <c r="H27" s="22" t="s">
        <v>25</v>
      </c>
      <c r="J27" s="90">
        <v>1</v>
      </c>
      <c r="K27" s="75" t="s">
        <v>92</v>
      </c>
    </row>
    <row r="28" spans="1:14" ht="12.75" customHeight="1" thickBot="1">
      <c r="A28" s="39">
        <v>24</v>
      </c>
      <c r="B28" s="2" t="s">
        <v>23</v>
      </c>
      <c r="D28" s="39">
        <v>18</v>
      </c>
      <c r="E28" s="2" t="s">
        <v>23</v>
      </c>
      <c r="J28" s="77" t="s">
        <v>157</v>
      </c>
      <c r="K28" s="78"/>
    </row>
    <row r="29" spans="1:14" ht="12.75" customHeight="1">
      <c r="A29" s="39">
        <v>12</v>
      </c>
      <c r="B29" s="16" t="s">
        <v>20</v>
      </c>
      <c r="D29" s="39">
        <v>0</v>
      </c>
      <c r="E29" s="16" t="s">
        <v>20</v>
      </c>
      <c r="H29" s="3"/>
      <c r="J29" s="74">
        <v>15</v>
      </c>
      <c r="K29" s="85" t="s">
        <v>29</v>
      </c>
    </row>
    <row r="30" spans="1:14" ht="12.75" customHeight="1">
      <c r="A30" s="39">
        <f>SUM(A24:A29)</f>
        <v>117</v>
      </c>
      <c r="B30" s="22" t="s">
        <v>25</v>
      </c>
      <c r="D30" s="39">
        <f>SUM(D24:D29)</f>
        <v>93</v>
      </c>
      <c r="E30" s="22" t="s">
        <v>25</v>
      </c>
      <c r="J30" s="76"/>
      <c r="K30" s="75"/>
    </row>
    <row r="31" spans="1:14" ht="12.75" customHeight="1" thickBot="1">
      <c r="J31" s="86" t="s">
        <v>95</v>
      </c>
      <c r="K31" s="79"/>
    </row>
    <row r="32" spans="1:14" ht="12.75" customHeight="1">
      <c r="A32" s="2" t="s">
        <v>30</v>
      </c>
      <c r="B32" s="16"/>
      <c r="D32" s="2" t="s">
        <v>30</v>
      </c>
      <c r="E32" s="13">
        <v>4869430822</v>
      </c>
      <c r="J32" s="87">
        <f>J17+J20+J23+J26+J29</f>
        <v>36</v>
      </c>
      <c r="K32" s="88" t="s">
        <v>29</v>
      </c>
      <c r="M32" s="22"/>
      <c r="N32" s="22"/>
    </row>
    <row r="33" spans="1:14" ht="12.75" customHeight="1">
      <c r="M33" s="42"/>
      <c r="N33" s="2"/>
    </row>
    <row r="34" spans="1:14" ht="12.75" customHeight="1" thickBot="1">
      <c r="A34" s="17" t="s">
        <v>97</v>
      </c>
      <c r="B34" s="17"/>
      <c r="D34" s="17" t="s">
        <v>158</v>
      </c>
      <c r="E34" s="5"/>
      <c r="G34" s="17" t="s">
        <v>159</v>
      </c>
      <c r="H34" s="5"/>
      <c r="J34" s="17" t="s">
        <v>160</v>
      </c>
      <c r="K34" s="5"/>
    </row>
    <row r="35" spans="1:14" ht="12.75" customHeight="1">
      <c r="A35" s="39">
        <v>4</v>
      </c>
      <c r="B35" s="2" t="s">
        <v>99</v>
      </c>
      <c r="D35" s="21">
        <v>10</v>
      </c>
      <c r="E35" t="s">
        <v>46</v>
      </c>
      <c r="G35" s="39">
        <v>0</v>
      </c>
      <c r="H35" s="2" t="s">
        <v>29</v>
      </c>
      <c r="J35" s="39">
        <v>9</v>
      </c>
      <c r="K35" t="s">
        <v>53</v>
      </c>
    </row>
    <row r="36" spans="1:14" ht="12.75" customHeight="1">
      <c r="A36" s="39">
        <v>0</v>
      </c>
      <c r="B36" s="2" t="s">
        <v>73</v>
      </c>
      <c r="G36" s="39">
        <v>0</v>
      </c>
      <c r="H36" s="16" t="s">
        <v>46</v>
      </c>
    </row>
    <row r="37" spans="1:14" ht="12.75" customHeight="1" thickBot="1">
      <c r="A37" s="39">
        <v>8</v>
      </c>
      <c r="B37" s="16" t="s">
        <v>23</v>
      </c>
      <c r="C37" s="23"/>
      <c r="D37" s="17" t="s">
        <v>161</v>
      </c>
      <c r="E37" s="5"/>
      <c r="G37" s="39">
        <f>SUM(G35:G36)</f>
        <v>0</v>
      </c>
      <c r="H37" s="22" t="s">
        <v>25</v>
      </c>
    </row>
    <row r="38" spans="1:14" ht="12.75" customHeight="1">
      <c r="A38" s="39">
        <f>SUM(A35:A37)</f>
        <v>12</v>
      </c>
      <c r="B38" s="22" t="s">
        <v>25</v>
      </c>
      <c r="D38" s="21">
        <v>10</v>
      </c>
      <c r="E38" t="s">
        <v>29</v>
      </c>
    </row>
    <row r="39" spans="1:14" ht="12.75" customHeight="1">
      <c r="D39" s="13">
        <v>8</v>
      </c>
      <c r="E39" s="16" t="s">
        <v>80</v>
      </c>
    </row>
    <row r="40" spans="1:14" ht="21">
      <c r="A40" s="19" t="s">
        <v>66</v>
      </c>
      <c r="F40" s="11">
        <f>SUM(D38:D39)</f>
        <v>18</v>
      </c>
      <c r="G40" s="2" t="s">
        <v>25</v>
      </c>
    </row>
    <row r="42" spans="1:14" ht="15.75" thickBot="1">
      <c r="A42" s="30" t="s">
        <v>67</v>
      </c>
      <c r="B42" s="5"/>
      <c r="C42" s="34" t="s">
        <v>68</v>
      </c>
      <c r="D42" s="30" t="s">
        <v>69</v>
      </c>
      <c r="E42" s="5"/>
      <c r="G42" s="30" t="s">
        <v>70</v>
      </c>
      <c r="H42" s="5"/>
      <c r="J42" s="30" t="s">
        <v>71</v>
      </c>
      <c r="K42" s="5"/>
    </row>
    <row r="43" spans="1:14">
      <c r="A43" s="31">
        <f>A4+D4+J4+G4+M4</f>
        <v>2</v>
      </c>
      <c r="B43" s="2" t="s">
        <v>7</v>
      </c>
      <c r="C43" s="35">
        <f>D43*15</f>
        <v>0</v>
      </c>
      <c r="D43" s="15"/>
      <c r="E43" s="2" t="s">
        <v>9</v>
      </c>
      <c r="G43" s="13">
        <f>A24+D24</f>
        <v>3</v>
      </c>
      <c r="H43" s="2" t="s">
        <v>8</v>
      </c>
      <c r="J43" s="13">
        <f>A9+D9+A29+J9+D29+G9+M9</f>
        <v>34</v>
      </c>
      <c r="K43" s="2" t="s">
        <v>22</v>
      </c>
    </row>
    <row r="44" spans="1:14">
      <c r="A44" s="26">
        <f>A5+D5+J5+G5+M5</f>
        <v>32</v>
      </c>
      <c r="B44" s="2" t="s">
        <v>10</v>
      </c>
      <c r="C44" s="35">
        <f t="shared" ref="C44:C50" si="0">D44*15</f>
        <v>0</v>
      </c>
      <c r="D44" s="14"/>
      <c r="E44" s="2" t="s">
        <v>12</v>
      </c>
      <c r="G44" s="13">
        <f>A25+D25+G24</f>
        <v>154</v>
      </c>
      <c r="H44" s="2" t="s">
        <v>11</v>
      </c>
      <c r="J44" s="13">
        <f>A37+A10+A28+D10+J10+G10+M10+D28</f>
        <v>68</v>
      </c>
      <c r="K44" s="2" t="s">
        <v>23</v>
      </c>
    </row>
    <row r="45" spans="1:14">
      <c r="A45" s="26">
        <f>A6+D6+J6+G6+M6</f>
        <v>1</v>
      </c>
      <c r="B45" s="2" t="s">
        <v>13</v>
      </c>
      <c r="C45" s="35">
        <f t="shared" si="0"/>
        <v>0</v>
      </c>
      <c r="D45" s="14"/>
      <c r="E45" s="2" t="s">
        <v>15</v>
      </c>
      <c r="G45" s="13">
        <f>A26+D26+G25</f>
        <v>2</v>
      </c>
      <c r="H45" s="2" t="s">
        <v>14</v>
      </c>
      <c r="J45" s="13">
        <f>A11+D11+J11+G11+M11</f>
        <v>12</v>
      </c>
      <c r="K45" s="2" t="s">
        <v>27</v>
      </c>
    </row>
    <row r="46" spans="1:14">
      <c r="A46" s="26">
        <f>A7+D7+J7+G7+M7</f>
        <v>3</v>
      </c>
      <c r="B46" s="2" t="s">
        <v>16</v>
      </c>
      <c r="C46" s="35">
        <f t="shared" si="0"/>
        <v>0</v>
      </c>
      <c r="D46" s="14"/>
      <c r="E46" s="2" t="s">
        <v>18</v>
      </c>
      <c r="G46" s="14">
        <f>A27+D27</f>
        <v>7</v>
      </c>
      <c r="H46" s="2" t="s">
        <v>101</v>
      </c>
      <c r="J46" s="13"/>
      <c r="K46" s="2" t="s">
        <v>72</v>
      </c>
    </row>
    <row r="47" spans="1:14">
      <c r="A47" s="26">
        <f>A8+D8+J8+G8+M8+D39</f>
        <v>122</v>
      </c>
      <c r="B47" s="2" t="s">
        <v>19</v>
      </c>
      <c r="C47" s="35">
        <f>D47*12</f>
        <v>0</v>
      </c>
      <c r="D47" s="14"/>
      <c r="E47" s="2" t="s">
        <v>21</v>
      </c>
      <c r="J47" s="13">
        <f>A35+A12+D38+J17+G35+D12+J20+J23+J12+J26+G12</f>
        <v>42</v>
      </c>
      <c r="K47" s="2" t="s">
        <v>29</v>
      </c>
    </row>
    <row r="48" spans="1:14">
      <c r="A48" s="26">
        <f>A13+D13+G13</f>
        <v>0</v>
      </c>
      <c r="B48" s="2" t="s">
        <v>32</v>
      </c>
      <c r="C48" s="35">
        <f>D48*10</f>
        <v>0</v>
      </c>
      <c r="D48" s="14"/>
      <c r="E48" s="2" t="s">
        <v>24</v>
      </c>
      <c r="J48" s="13">
        <f>A36</f>
        <v>0</v>
      </c>
      <c r="K48" s="2" t="s">
        <v>73</v>
      </c>
    </row>
    <row r="49" spans="1:11">
      <c r="B49" s="2"/>
      <c r="C49" s="35">
        <f t="shared" si="0"/>
        <v>0</v>
      </c>
      <c r="D49" s="14"/>
      <c r="E49" s="2" t="s">
        <v>26</v>
      </c>
      <c r="J49" s="14">
        <f>D35+G36</f>
        <v>10</v>
      </c>
      <c r="K49" s="2" t="s">
        <v>46</v>
      </c>
    </row>
    <row r="50" spans="1:11">
      <c r="B50" s="2"/>
      <c r="C50" s="35">
        <f t="shared" si="0"/>
        <v>0</v>
      </c>
      <c r="D50" s="14"/>
      <c r="E50" s="2" t="s">
        <v>28</v>
      </c>
      <c r="J50" s="14">
        <f>J35</f>
        <v>9</v>
      </c>
      <c r="K50" s="2" t="s">
        <v>53</v>
      </c>
    </row>
    <row r="51" spans="1:11">
      <c r="B51" s="2"/>
      <c r="C51" s="35">
        <f>D51*8</f>
        <v>0</v>
      </c>
      <c r="D51" s="14"/>
      <c r="E51" s="2" t="s">
        <v>31</v>
      </c>
    </row>
    <row r="52" spans="1:11">
      <c r="C52" s="35">
        <f>D52*8</f>
        <v>0</v>
      </c>
      <c r="D52" s="14"/>
      <c r="E52" s="2" t="s">
        <v>33</v>
      </c>
    </row>
    <row r="57" spans="1:11" ht="15.75" thickBot="1">
      <c r="A57" s="30" t="s">
        <v>74</v>
      </c>
      <c r="B57" s="5"/>
      <c r="F57" s="34" t="s">
        <v>68</v>
      </c>
      <c r="G57" s="30" t="s">
        <v>75</v>
      </c>
      <c r="H57" s="5"/>
      <c r="J57" s="5" t="s">
        <v>76</v>
      </c>
      <c r="K57" s="30" t="s">
        <v>77</v>
      </c>
    </row>
    <row r="58" spans="1:11">
      <c r="A58" s="13">
        <f>A14+D14+G14</f>
        <v>2</v>
      </c>
      <c r="B58" s="2" t="s">
        <v>34</v>
      </c>
      <c r="F58" s="35">
        <f>G58*15</f>
        <v>15</v>
      </c>
      <c r="G58" s="26">
        <f>A45</f>
        <v>1</v>
      </c>
      <c r="H58" s="2" t="s">
        <v>13</v>
      </c>
      <c r="J58" s="15">
        <f>IF(MOD((A4),24)=0,(A4)/24,0)+IF(MOD((D4),24)=0,(D4)/24,0)+IF(MOD((G4),24)=0,(G4)/24,0)</f>
        <v>0</v>
      </c>
      <c r="K58" t="s">
        <v>7</v>
      </c>
    </row>
    <row r="59" spans="1:11">
      <c r="A59" s="13">
        <f>A15+D15+G15</f>
        <v>2</v>
      </c>
      <c r="B59" s="2" t="s">
        <v>36</v>
      </c>
      <c r="F59" s="35">
        <f t="shared" ref="F59:F61" si="1">G59*15</f>
        <v>0</v>
      </c>
      <c r="G59" s="21">
        <f>A48</f>
        <v>0</v>
      </c>
      <c r="H59" s="2" t="s">
        <v>32</v>
      </c>
      <c r="J59" s="14">
        <f>IF(MOD((A5),24)=0,(A5)/24,0)+IF(MOD((D5),24)=0,(D5)/24,0)+IF(MOD((G5),24)=0,(G5)/24,0)</f>
        <v>1</v>
      </c>
      <c r="K59" t="s">
        <v>10</v>
      </c>
    </row>
    <row r="60" spans="1:11">
      <c r="A60" s="13">
        <f>A16+D16+G16</f>
        <v>1</v>
      </c>
      <c r="B60" s="2" t="s">
        <v>78</v>
      </c>
      <c r="F60" s="35">
        <f>G60*10</f>
        <v>120</v>
      </c>
      <c r="G60" s="29">
        <f>J45</f>
        <v>12</v>
      </c>
      <c r="H60" s="2" t="s">
        <v>27</v>
      </c>
      <c r="J60" s="13">
        <f>IF(MOD((A8),20)=0,(A8)/20,0)+IF(MOD((D8),20)=0,(D8)/20,0)+IF(MOD((G8),20)=0,(G8)/20,0)</f>
        <v>4</v>
      </c>
      <c r="K60" s="2" t="s">
        <v>19</v>
      </c>
    </row>
    <row r="61" spans="1:11">
      <c r="A61" s="13">
        <f>A17+D17+G17</f>
        <v>1</v>
      </c>
      <c r="B61" s="2" t="s">
        <v>79</v>
      </c>
      <c r="F61" s="35">
        <f t="shared" si="1"/>
        <v>45</v>
      </c>
      <c r="G61" s="26">
        <f>A46</f>
        <v>3</v>
      </c>
      <c r="H61" s="2" t="s">
        <v>16</v>
      </c>
      <c r="J61" s="14">
        <f>IF(MOD((A24),24)=0,(A24)/24,0)+IF(MOD((D24),24)=0,(D24)/24,0)</f>
        <v>0</v>
      </c>
      <c r="K61" s="2" t="s">
        <v>8</v>
      </c>
    </row>
    <row r="62" spans="1:11">
      <c r="A62" s="13">
        <f>A18+D18+G18+G26+M12</f>
        <v>0</v>
      </c>
      <c r="B62" s="2" t="s">
        <v>40</v>
      </c>
      <c r="F62" s="35">
        <f>G62*15</f>
        <v>30</v>
      </c>
      <c r="G62" s="21">
        <f>G45</f>
        <v>2</v>
      </c>
      <c r="H62" s="2" t="s">
        <v>14</v>
      </c>
      <c r="J62" s="14">
        <f>IF(MOD((A25),24)=0,(A25)/24,0)+IF(MOD((D25),24)=0,(D25)/24,0)</f>
        <v>6</v>
      </c>
      <c r="K62" s="2" t="s">
        <v>11</v>
      </c>
    </row>
    <row r="63" spans="1:11">
      <c r="A63" s="13">
        <f>A19+D19+G19</f>
        <v>2</v>
      </c>
      <c r="B63" s="2" t="s">
        <v>42</v>
      </c>
      <c r="F63" s="35">
        <f>G63*5</f>
        <v>610</v>
      </c>
      <c r="G63" s="21">
        <f>A47</f>
        <v>122</v>
      </c>
      <c r="H63" s="2" t="s">
        <v>80</v>
      </c>
      <c r="J63" s="14">
        <f>IF(MOD((A27),13)=0,(A27)/13,0)+IF(MOD((D27),13)=0,(D27)/13,0)</f>
        <v>0</v>
      </c>
      <c r="K63" s="2" t="s">
        <v>17</v>
      </c>
    </row>
    <row r="64" spans="1:11">
      <c r="A64" s="13">
        <f>A20+D20+G20</f>
        <v>2</v>
      </c>
      <c r="B64" s="2" t="s">
        <v>43</v>
      </c>
      <c r="F64" s="35">
        <f>G64*8</f>
        <v>56</v>
      </c>
      <c r="G64" s="21">
        <f>G46</f>
        <v>7</v>
      </c>
      <c r="H64" s="2" t="s">
        <v>17</v>
      </c>
      <c r="J64" s="14">
        <f>IF(MOD((A10),24)=0,(A10)/24,0)+IF(MOD((A28),24)=0,(A28)/24,0)+IF(MOD((D10),24)=0,(D10)/24,0)+IF(MOD((G10),24)=0,(G10)/24,0)+IF(MOD((D28),24)=0,(D28)/24,0)</f>
        <v>1</v>
      </c>
      <c r="K64" s="2" t="s">
        <v>23</v>
      </c>
    </row>
    <row r="65" spans="2:11">
      <c r="J65" s="14">
        <f>IF(MOD((A11),24)=0,(A11)/24,0)+IF(MOD((D11),24)=0,(D11)/24,0)+IF(MOD((G11),24)=0,(G11)/24,0)</f>
        <v>0</v>
      </c>
      <c r="K65" s="2" t="s">
        <v>27</v>
      </c>
    </row>
    <row r="66" spans="2:11">
      <c r="I66" s="2"/>
    </row>
    <row r="69" spans="2:11">
      <c r="B69" s="2"/>
      <c r="E69" s="2"/>
      <c r="H69" s="2"/>
      <c r="K69" s="2"/>
    </row>
    <row r="70" spans="2:11">
      <c r="B70" s="2"/>
      <c r="E70" s="2"/>
      <c r="H70" s="2"/>
      <c r="K70" s="2"/>
    </row>
    <row r="71" spans="2:11">
      <c r="B71" s="2"/>
      <c r="E71" s="2"/>
      <c r="H71" s="2"/>
    </row>
    <row r="72" spans="2:11">
      <c r="B72" s="2"/>
      <c r="E72" s="2"/>
      <c r="H72" s="2"/>
    </row>
    <row r="73" spans="2:11">
      <c r="B73" s="2"/>
      <c r="H73" s="2"/>
    </row>
    <row r="74" spans="2:11">
      <c r="H74" s="2"/>
    </row>
    <row r="75" spans="2:11">
      <c r="H75" s="2"/>
    </row>
    <row r="76" spans="2:11">
      <c r="H76" s="2"/>
    </row>
    <row r="77" spans="2:11">
      <c r="H77" s="2"/>
    </row>
    <row r="78" spans="2:11">
      <c r="H78" s="2"/>
    </row>
  </sheetData>
  <mergeCells count="2">
    <mergeCell ref="A1:B1"/>
    <mergeCell ref="C1:E1"/>
  </mergeCells>
  <conditionalFormatting sqref="A4:A5">
    <cfRule type="cellIs" dxfId="83" priority="83" operator="equal">
      <formula>24</formula>
    </cfRule>
    <cfRule type="cellIs" dxfId="82" priority="82" operator="equal">
      <formula>96</formula>
    </cfRule>
    <cfRule type="cellIs" dxfId="81" priority="81" operator="equal">
      <formula>72</formula>
    </cfRule>
    <cfRule type="cellIs" dxfId="80" priority="80" operator="equal">
      <formula>120</formula>
    </cfRule>
    <cfRule type="cellIs" dxfId="79" priority="79" operator="equal">
      <formula>144</formula>
    </cfRule>
    <cfRule type="cellIs" dxfId="78" priority="78" operator="equal">
      <formula>168</formula>
    </cfRule>
    <cfRule type="cellIs" dxfId="77" priority="84" operator="equal">
      <formula>48</formula>
    </cfRule>
  </conditionalFormatting>
  <conditionalFormatting sqref="A8">
    <cfRule type="cellIs" dxfId="76" priority="64" operator="equal">
      <formula>20</formula>
    </cfRule>
    <cfRule type="cellIs" dxfId="75" priority="70" operator="equal">
      <formula>140</formula>
    </cfRule>
    <cfRule type="cellIs" dxfId="74" priority="69" operator="equal">
      <formula>120</formula>
    </cfRule>
    <cfRule type="cellIs" dxfId="73" priority="68" operator="equal">
      <formula>100</formula>
    </cfRule>
    <cfRule type="cellIs" dxfId="72" priority="67" operator="equal">
      <formula>80</formula>
    </cfRule>
    <cfRule type="cellIs" dxfId="71" priority="66" operator="equal">
      <formula>60</formula>
    </cfRule>
    <cfRule type="cellIs" dxfId="70" priority="65" operator="equal">
      <formula>40</formula>
    </cfRule>
  </conditionalFormatting>
  <conditionalFormatting sqref="A10:A11">
    <cfRule type="cellIs" dxfId="69" priority="75" operator="equal">
      <formula>96</formula>
    </cfRule>
    <cfRule type="cellIs" dxfId="68" priority="74" operator="equal">
      <formula>72</formula>
    </cfRule>
    <cfRule type="cellIs" dxfId="67" priority="77" operator="equal">
      <formula>48</formula>
    </cfRule>
    <cfRule type="cellIs" dxfId="66" priority="76" operator="equal">
      <formula>24</formula>
    </cfRule>
    <cfRule type="cellIs" dxfId="65" priority="73" operator="equal">
      <formula>120</formula>
    </cfRule>
    <cfRule type="cellIs" dxfId="64" priority="72" operator="equal">
      <formula>144</formula>
    </cfRule>
    <cfRule type="cellIs" dxfId="63" priority="71" operator="equal">
      <formula>168</formula>
    </cfRule>
  </conditionalFormatting>
  <conditionalFormatting sqref="A24:A25">
    <cfRule type="cellIs" dxfId="62" priority="56" operator="equal">
      <formula>48</formula>
    </cfRule>
    <cfRule type="cellIs" dxfId="61" priority="55" operator="equal">
      <formula>24</formula>
    </cfRule>
    <cfRule type="cellIs" dxfId="60" priority="54" operator="equal">
      <formula>96</formula>
    </cfRule>
    <cfRule type="cellIs" dxfId="59" priority="52" operator="equal">
      <formula>120</formula>
    </cfRule>
    <cfRule type="cellIs" dxfId="58" priority="51" operator="equal">
      <formula>144</formula>
    </cfRule>
    <cfRule type="cellIs" dxfId="57" priority="50" operator="equal">
      <formula>168</formula>
    </cfRule>
    <cfRule type="cellIs" dxfId="56" priority="53" operator="equal">
      <formula>72</formula>
    </cfRule>
  </conditionalFormatting>
  <conditionalFormatting sqref="A27">
    <cfRule type="cellIs" dxfId="55" priority="63" operator="equal">
      <formula>91</formula>
    </cfRule>
    <cfRule type="cellIs" dxfId="54" priority="62" operator="equal">
      <formula>78</formula>
    </cfRule>
    <cfRule type="cellIs" dxfId="53" priority="61" operator="equal">
      <formula>65</formula>
    </cfRule>
    <cfRule type="cellIs" dxfId="52" priority="60" operator="equal">
      <formula>52</formula>
    </cfRule>
    <cfRule type="cellIs" dxfId="51" priority="57" operator="equal">
      <formula>13</formula>
    </cfRule>
    <cfRule type="cellIs" dxfId="50" priority="59" operator="equal">
      <formula>39</formula>
    </cfRule>
    <cfRule type="cellIs" dxfId="49" priority="58" operator="equal">
      <formula>26</formula>
    </cfRule>
  </conditionalFormatting>
  <conditionalFormatting sqref="A28">
    <cfRule type="cellIs" dxfId="48" priority="43" operator="equal">
      <formula>168</formula>
    </cfRule>
    <cfRule type="cellIs" dxfId="47" priority="44" operator="equal">
      <formula>144</formula>
    </cfRule>
    <cfRule type="cellIs" dxfId="46" priority="45" operator="equal">
      <formula>120</formula>
    </cfRule>
    <cfRule type="cellIs" dxfId="45" priority="46" operator="equal">
      <formula>72</formula>
    </cfRule>
    <cfRule type="cellIs" dxfId="44" priority="47" operator="equal">
      <formula>96</formula>
    </cfRule>
    <cfRule type="cellIs" dxfId="43" priority="48" operator="equal">
      <formula>24</formula>
    </cfRule>
    <cfRule type="cellIs" dxfId="42" priority="49" operator="equal">
      <formula>48</formula>
    </cfRule>
  </conditionalFormatting>
  <conditionalFormatting sqref="D4:D5">
    <cfRule type="cellIs" dxfId="41" priority="21" operator="equal">
      <formula>48</formula>
    </cfRule>
    <cfRule type="cellIs" dxfId="40" priority="15" operator="equal">
      <formula>168</formula>
    </cfRule>
    <cfRule type="cellIs" dxfId="39" priority="16" operator="equal">
      <formula>144</formula>
    </cfRule>
    <cfRule type="cellIs" dxfId="38" priority="17" operator="equal">
      <formula>120</formula>
    </cfRule>
    <cfRule type="cellIs" dxfId="37" priority="18" operator="equal">
      <formula>72</formula>
    </cfRule>
    <cfRule type="cellIs" dxfId="36" priority="19" operator="equal">
      <formula>96</formula>
    </cfRule>
    <cfRule type="cellIs" dxfId="35" priority="20" operator="equal">
      <formula>24</formula>
    </cfRule>
  </conditionalFormatting>
  <conditionalFormatting sqref="D8">
    <cfRule type="cellIs" dxfId="34" priority="2" operator="equal">
      <formula>40</formula>
    </cfRule>
    <cfRule type="cellIs" dxfId="33" priority="3" operator="equal">
      <formula>60</formula>
    </cfRule>
    <cfRule type="cellIs" dxfId="32" priority="4" operator="equal">
      <formula>80</formula>
    </cfRule>
    <cfRule type="cellIs" dxfId="31" priority="5" operator="equal">
      <formula>100</formula>
    </cfRule>
    <cfRule type="cellIs" dxfId="30" priority="6" operator="equal">
      <formula>120</formula>
    </cfRule>
    <cfRule type="cellIs" dxfId="29" priority="7" operator="equal">
      <formula>140</formula>
    </cfRule>
    <cfRule type="cellIs" dxfId="28" priority="1" operator="equal">
      <formula>20</formula>
    </cfRule>
  </conditionalFormatting>
  <conditionalFormatting sqref="D10:D11">
    <cfRule type="cellIs" dxfId="27" priority="14" operator="equal">
      <formula>48</formula>
    </cfRule>
    <cfRule type="cellIs" dxfId="26" priority="11" operator="equal">
      <formula>72</formula>
    </cfRule>
    <cfRule type="cellIs" dxfId="25" priority="13" operator="equal">
      <formula>24</formula>
    </cfRule>
    <cfRule type="cellIs" dxfId="24" priority="12" operator="equal">
      <formula>96</formula>
    </cfRule>
    <cfRule type="cellIs" dxfId="23" priority="10" operator="equal">
      <formula>120</formula>
    </cfRule>
    <cfRule type="cellIs" dxfId="22" priority="9" operator="equal">
      <formula>144</formula>
    </cfRule>
    <cfRule type="cellIs" dxfId="21" priority="8" operator="equal">
      <formula>168</formula>
    </cfRule>
  </conditionalFormatting>
  <conditionalFormatting sqref="G4:G5">
    <cfRule type="cellIs" dxfId="20" priority="42" operator="equal">
      <formula>48</formula>
    </cfRule>
    <cfRule type="cellIs" dxfId="19" priority="41" operator="equal">
      <formula>24</formula>
    </cfRule>
    <cfRule type="cellIs" dxfId="18" priority="40" operator="equal">
      <formula>96</formula>
    </cfRule>
    <cfRule type="cellIs" dxfId="17" priority="39" operator="equal">
      <formula>72</formula>
    </cfRule>
    <cfRule type="cellIs" dxfId="16" priority="38" operator="equal">
      <formula>120</formula>
    </cfRule>
    <cfRule type="cellIs" dxfId="15" priority="37" operator="equal">
      <formula>144</formula>
    </cfRule>
    <cfRule type="cellIs" dxfId="14" priority="36" operator="equal">
      <formula>168</formula>
    </cfRule>
  </conditionalFormatting>
  <conditionalFormatting sqref="G8">
    <cfRule type="cellIs" dxfId="13" priority="33" operator="equal">
      <formula>100</formula>
    </cfRule>
    <cfRule type="cellIs" dxfId="12" priority="29" operator="equal">
      <formula>20</formula>
    </cfRule>
    <cfRule type="cellIs" dxfId="11" priority="30" operator="equal">
      <formula>40</formula>
    </cfRule>
    <cfRule type="cellIs" dxfId="10" priority="31" operator="equal">
      <formula>60</formula>
    </cfRule>
    <cfRule type="cellIs" dxfId="9" priority="32" operator="equal">
      <formula>80</formula>
    </cfRule>
    <cfRule type="cellIs" dxfId="8" priority="34" operator="equal">
      <formula>120</formula>
    </cfRule>
    <cfRule type="cellIs" dxfId="7" priority="35" operator="equal">
      <formula>140</formula>
    </cfRule>
  </conditionalFormatting>
  <conditionalFormatting sqref="G10:G11">
    <cfRule type="cellIs" dxfId="6" priority="27" operator="equal">
      <formula>24</formula>
    </cfRule>
    <cfRule type="cellIs" dxfId="5" priority="28" operator="equal">
      <formula>48</formula>
    </cfRule>
    <cfRule type="cellIs" dxfId="4" priority="26" operator="equal">
      <formula>96</formula>
    </cfRule>
    <cfRule type="cellIs" dxfId="3" priority="25" operator="equal">
      <formula>72</formula>
    </cfRule>
    <cfRule type="cellIs" dxfId="2" priority="24" operator="equal">
      <formula>120</formula>
    </cfRule>
    <cfRule type="cellIs" dxfId="1" priority="23" operator="equal">
      <formula>144</formula>
    </cfRule>
    <cfRule type="cellIs" dxfId="0" priority="22" operator="equal">
      <formula>168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I14" sqref="I14"/>
    </sheetView>
  </sheetViews>
  <sheetFormatPr defaultRowHeight="15"/>
  <cols>
    <col min="1" max="1" width="6.42578125" customWidth="1"/>
    <col min="2" max="2" width="8.42578125" customWidth="1"/>
    <col min="3" max="3" width="12.140625" customWidth="1"/>
    <col min="4" max="4" width="5" customWidth="1"/>
    <col min="5" max="5" width="8.5703125" customWidth="1"/>
    <col min="6" max="6" width="6.85546875" customWidth="1"/>
    <col min="7" max="7" width="10.28515625" customWidth="1"/>
    <col min="8" max="8" width="6.28515625" customWidth="1"/>
    <col min="9" max="9" width="7.5703125" customWidth="1"/>
    <col min="10" max="10" width="6.140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600000000000001" customHeight="1" thickBot="1">
      <c r="A1" s="92" t="s">
        <v>162</v>
      </c>
      <c r="B1" s="92"/>
      <c r="C1" s="45">
        <f>Mon!B2+1</f>
        <v>30</v>
      </c>
      <c r="D1" s="46"/>
      <c r="E1" s="46"/>
      <c r="F1" s="63" t="s">
        <v>1</v>
      </c>
      <c r="G1" s="64">
        <f>Mon!C1+49-1</f>
        <v>45536</v>
      </c>
    </row>
    <row r="2" spans="1:14" ht="12.2" customHeight="1"/>
    <row r="3" spans="1:14" ht="12.75" customHeight="1">
      <c r="D3" s="18"/>
      <c r="G3" s="22"/>
      <c r="J3" s="22"/>
      <c r="K3" s="2"/>
      <c r="M3" s="22"/>
      <c r="N3" s="22"/>
    </row>
    <row r="4" spans="1:14" ht="12.75" customHeight="1" thickBot="1">
      <c r="A4" s="34" t="s">
        <v>163</v>
      </c>
      <c r="B4" s="17" t="s">
        <v>164</v>
      </c>
      <c r="C4" s="17"/>
      <c r="D4" s="42"/>
      <c r="E4" s="34" t="s">
        <v>163</v>
      </c>
      <c r="F4" s="17" t="s">
        <v>165</v>
      </c>
      <c r="G4" s="17"/>
      <c r="I4" s="34" t="s">
        <v>163</v>
      </c>
      <c r="J4" s="17" t="s">
        <v>166</v>
      </c>
      <c r="K4" s="17"/>
      <c r="M4" s="42"/>
      <c r="N4" s="2"/>
    </row>
    <row r="5" spans="1:14" ht="12.75" customHeight="1">
      <c r="A5" s="35">
        <f>B5/48</f>
        <v>0</v>
      </c>
      <c r="B5" s="39"/>
      <c r="C5" s="2" t="s">
        <v>72</v>
      </c>
      <c r="D5" s="42"/>
      <c r="E5" s="35">
        <f>F5/48</f>
        <v>0</v>
      </c>
      <c r="F5" s="39"/>
      <c r="G5" s="2" t="s">
        <v>72</v>
      </c>
      <c r="I5" s="35">
        <f>J5/48</f>
        <v>0</v>
      </c>
      <c r="J5" s="39"/>
      <c r="K5" s="2" t="s">
        <v>72</v>
      </c>
      <c r="M5" s="42"/>
      <c r="N5" s="2"/>
    </row>
    <row r="6" spans="1:14" ht="12.75" customHeight="1">
      <c r="A6" s="35">
        <f t="shared" ref="A6:A12" si="0">B6/48</f>
        <v>0</v>
      </c>
      <c r="B6" s="39"/>
      <c r="C6" s="2" t="s">
        <v>29</v>
      </c>
      <c r="D6" s="42"/>
      <c r="E6" s="35">
        <f t="shared" ref="E6:E12" si="1">F6/48</f>
        <v>0</v>
      </c>
      <c r="F6" s="39"/>
      <c r="G6" s="2" t="s">
        <v>29</v>
      </c>
      <c r="I6" s="35">
        <f t="shared" ref="I6:I12" si="2">J6/48</f>
        <v>0</v>
      </c>
      <c r="J6" s="39"/>
      <c r="K6" s="2" t="s">
        <v>29</v>
      </c>
      <c r="M6" s="42"/>
      <c r="N6" s="2"/>
    </row>
    <row r="7" spans="1:14" ht="12.75" customHeight="1">
      <c r="A7" s="35">
        <f t="shared" si="0"/>
        <v>0</v>
      </c>
      <c r="B7" s="39"/>
      <c r="C7" s="2" t="s">
        <v>73</v>
      </c>
      <c r="D7" s="42"/>
      <c r="E7" s="35">
        <f t="shared" si="1"/>
        <v>0</v>
      </c>
      <c r="F7" s="39"/>
      <c r="G7" s="2" t="s">
        <v>73</v>
      </c>
      <c r="I7" s="35">
        <f t="shared" si="2"/>
        <v>0</v>
      </c>
      <c r="J7" s="39"/>
      <c r="K7" s="2" t="s">
        <v>73</v>
      </c>
      <c r="M7" s="42"/>
      <c r="N7" s="2"/>
    </row>
    <row r="8" spans="1:14" ht="12.75" customHeight="1">
      <c r="A8" s="35">
        <f t="shared" si="0"/>
        <v>0</v>
      </c>
      <c r="B8" s="39"/>
      <c r="C8" s="2" t="s">
        <v>22</v>
      </c>
      <c r="D8" s="42"/>
      <c r="E8" s="35">
        <f t="shared" si="1"/>
        <v>0</v>
      </c>
      <c r="F8" s="39"/>
      <c r="G8" s="2" t="s">
        <v>22</v>
      </c>
      <c r="I8" s="35">
        <f t="shared" si="2"/>
        <v>0</v>
      </c>
      <c r="J8" s="39"/>
      <c r="K8" s="2" t="s">
        <v>22</v>
      </c>
      <c r="M8" s="42"/>
      <c r="N8" s="2"/>
    </row>
    <row r="9" spans="1:14" ht="12.75" customHeight="1">
      <c r="A9" s="35">
        <f t="shared" si="0"/>
        <v>0</v>
      </c>
      <c r="B9" s="39"/>
      <c r="C9" s="2" t="s">
        <v>93</v>
      </c>
      <c r="D9" s="42"/>
      <c r="E9" s="35">
        <f t="shared" si="1"/>
        <v>0</v>
      </c>
      <c r="F9" s="39"/>
      <c r="G9" s="2" t="s">
        <v>93</v>
      </c>
      <c r="I9" s="35">
        <f t="shared" si="2"/>
        <v>0</v>
      </c>
      <c r="J9" s="39"/>
      <c r="K9" s="2" t="s">
        <v>93</v>
      </c>
      <c r="M9" s="42"/>
      <c r="N9" s="2"/>
    </row>
    <row r="10" spans="1:14" ht="12.75" customHeight="1">
      <c r="A10" s="35">
        <f t="shared" si="0"/>
        <v>0</v>
      </c>
      <c r="B10" s="39"/>
      <c r="C10" s="2" t="s">
        <v>46</v>
      </c>
      <c r="D10" s="42"/>
      <c r="E10" s="35">
        <f t="shared" si="1"/>
        <v>0</v>
      </c>
      <c r="F10" s="39"/>
      <c r="G10" s="2" t="s">
        <v>46</v>
      </c>
      <c r="I10" s="35">
        <f t="shared" si="2"/>
        <v>0</v>
      </c>
      <c r="J10" s="39"/>
      <c r="K10" s="2" t="s">
        <v>46</v>
      </c>
      <c r="M10" s="42"/>
      <c r="N10" s="2"/>
    </row>
    <row r="11" spans="1:14" ht="12.75" customHeight="1">
      <c r="A11" s="35">
        <f t="shared" si="0"/>
        <v>0</v>
      </c>
      <c r="B11" s="39"/>
      <c r="C11" s="16" t="s">
        <v>53</v>
      </c>
      <c r="D11" s="2"/>
      <c r="E11" s="35">
        <f t="shared" si="1"/>
        <v>0</v>
      </c>
      <c r="F11" s="39"/>
      <c r="G11" s="16" t="s">
        <v>53</v>
      </c>
      <c r="I11" s="35">
        <f t="shared" si="2"/>
        <v>0</v>
      </c>
      <c r="J11" s="39"/>
      <c r="K11" s="16" t="s">
        <v>53</v>
      </c>
      <c r="M11" s="42"/>
      <c r="N11" s="2"/>
    </row>
    <row r="12" spans="1:14" ht="12.75" customHeight="1">
      <c r="A12" s="35">
        <f t="shared" si="0"/>
        <v>0</v>
      </c>
      <c r="B12" s="44">
        <f>SUM(B5:B11)</f>
        <v>0</v>
      </c>
      <c r="C12" s="22" t="s">
        <v>25</v>
      </c>
      <c r="E12" s="35">
        <f t="shared" si="1"/>
        <v>0</v>
      </c>
      <c r="F12" s="44">
        <f>SUM(F5:F11)</f>
        <v>0</v>
      </c>
      <c r="G12" s="22" t="s">
        <v>25</v>
      </c>
      <c r="I12" s="35">
        <f t="shared" si="2"/>
        <v>0</v>
      </c>
      <c r="J12" s="44">
        <f>SUM(J5:J11)</f>
        <v>0</v>
      </c>
      <c r="K12" s="22" t="s">
        <v>25</v>
      </c>
      <c r="M12" s="42"/>
      <c r="N12" s="2"/>
    </row>
    <row r="13" spans="1:14" ht="12.75" customHeight="1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>
      <c r="A14" s="42"/>
      <c r="B14" s="2"/>
      <c r="D14" s="42"/>
      <c r="G14" s="42"/>
      <c r="H14" s="2"/>
      <c r="J14" s="42"/>
      <c r="K14" s="2"/>
    </row>
    <row r="15" spans="1:14" ht="12.75" customHeight="1">
      <c r="A15" s="42"/>
      <c r="B15" s="2"/>
      <c r="F15" s="2"/>
      <c r="G15" s="42"/>
      <c r="H15" s="2"/>
      <c r="J15" s="42"/>
      <c r="K15" s="2"/>
    </row>
    <row r="16" spans="1:14" ht="12.75" customHeight="1">
      <c r="A16" s="42"/>
      <c r="B16" s="2"/>
      <c r="D16" s="22"/>
      <c r="G16" s="42"/>
      <c r="H16" s="2"/>
      <c r="J16" s="42"/>
      <c r="K16" s="2"/>
      <c r="M16" s="22"/>
    </row>
    <row r="17" spans="1:14" ht="12.75" customHeight="1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>
      <c r="A18" s="42"/>
      <c r="B18" s="2"/>
      <c r="D18" s="42"/>
      <c r="E18" s="2"/>
      <c r="G18" s="42"/>
      <c r="H18" s="2"/>
      <c r="J18" s="42"/>
      <c r="K18" s="2"/>
    </row>
    <row r="19" spans="1:14" ht="12.75" customHeight="1">
      <c r="A19" s="42"/>
      <c r="B19" s="2"/>
      <c r="D19" s="42"/>
      <c r="E19" s="22"/>
      <c r="G19" s="42"/>
      <c r="H19" s="2"/>
      <c r="J19" s="42"/>
      <c r="K19" s="2"/>
    </row>
    <row r="20" spans="1:14" ht="12.75" customHeight="1">
      <c r="A20" s="42"/>
      <c r="B20" s="2"/>
      <c r="G20" s="42"/>
      <c r="H20" s="2"/>
      <c r="J20" s="42"/>
      <c r="K20" s="2"/>
    </row>
    <row r="21" spans="1:14" ht="12.75" customHeight="1">
      <c r="D21" s="22"/>
      <c r="E21" s="22"/>
      <c r="G21" s="42"/>
      <c r="H21" s="2"/>
      <c r="J21" s="42"/>
      <c r="K21" s="2"/>
    </row>
    <row r="22" spans="1:14" ht="12.75" customHeight="1">
      <c r="D22" s="42"/>
      <c r="E22" s="2"/>
      <c r="G22" s="42"/>
      <c r="H22" s="2"/>
      <c r="J22" s="42"/>
      <c r="K22" s="2"/>
    </row>
    <row r="23" spans="1:14" ht="12.75" customHeight="1">
      <c r="D23" s="42"/>
      <c r="E23" s="2"/>
      <c r="G23" s="42"/>
      <c r="H23" s="40"/>
      <c r="J23" s="42"/>
      <c r="K23" s="2"/>
    </row>
    <row r="24" spans="1:14" ht="12.75" customHeight="1">
      <c r="D24" s="42"/>
      <c r="E24" s="2"/>
      <c r="J24" s="42"/>
      <c r="K24" s="2"/>
    </row>
    <row r="25" spans="1:14" ht="12.75" customHeight="1">
      <c r="D25" s="42"/>
      <c r="E25" s="2"/>
      <c r="G25" s="22"/>
      <c r="H25" s="22"/>
      <c r="J25" s="42"/>
      <c r="K25" s="22"/>
    </row>
    <row r="26" spans="1:14" ht="12.75" customHeight="1">
      <c r="D26" s="42"/>
      <c r="E26" s="2"/>
      <c r="G26" s="42"/>
      <c r="H26" s="2"/>
    </row>
    <row r="27" spans="1:14" ht="12.75" customHeight="1">
      <c r="D27" s="42"/>
      <c r="E27" s="2"/>
      <c r="G27" s="42"/>
      <c r="H27" s="2"/>
    </row>
    <row r="28" spans="1:14" ht="12.75" customHeight="1">
      <c r="D28" s="42"/>
      <c r="E28" s="2"/>
      <c r="G28" s="42"/>
      <c r="H28" s="2"/>
      <c r="J28" s="18"/>
    </row>
    <row r="29" spans="1:14" ht="12.75" customHeight="1">
      <c r="D29" s="42"/>
      <c r="E29" s="2"/>
      <c r="G29" s="42"/>
      <c r="H29" s="22"/>
      <c r="J29" s="42"/>
      <c r="K29" s="2"/>
    </row>
    <row r="30" spans="1:14" ht="12.75" customHeight="1">
      <c r="D30" s="42"/>
      <c r="E30" s="2"/>
      <c r="H30" s="3"/>
      <c r="J30" s="42"/>
      <c r="K30" s="2"/>
    </row>
    <row r="31" spans="1:14" ht="12.75" customHeight="1">
      <c r="A31" s="22"/>
      <c r="D31" s="42"/>
      <c r="E31" s="2"/>
      <c r="J31" s="42"/>
      <c r="K31" s="2"/>
    </row>
    <row r="32" spans="1:14" ht="12.75" customHeight="1">
      <c r="A32" s="24"/>
      <c r="D32" s="42"/>
      <c r="E32" s="2"/>
      <c r="J32" s="42"/>
      <c r="K32" s="2"/>
      <c r="M32" s="22"/>
      <c r="N32" s="22"/>
    </row>
    <row r="33" spans="1:14" ht="12.75" customHeight="1">
      <c r="D33" s="42"/>
      <c r="E33" s="2"/>
      <c r="J33" s="42"/>
      <c r="K33" s="2"/>
      <c r="M33" s="42"/>
      <c r="N33" s="2"/>
    </row>
    <row r="34" spans="1:14" ht="12.75" customHeight="1">
      <c r="D34" s="42"/>
      <c r="E34" s="2"/>
      <c r="J34" s="42"/>
      <c r="K34" s="2"/>
    </row>
    <row r="35" spans="1:14" ht="12.75" customHeight="1">
      <c r="A35" s="22"/>
      <c r="D35" s="42"/>
      <c r="E35" s="2"/>
      <c r="F35" s="1"/>
      <c r="J35" s="42"/>
      <c r="K35" s="22"/>
    </row>
    <row r="36" spans="1:14" ht="12.75" customHeight="1">
      <c r="A36" s="24"/>
      <c r="D36" s="42"/>
      <c r="E36" s="2"/>
    </row>
    <row r="37" spans="1:14" ht="12.75" customHeight="1">
      <c r="B37" s="2"/>
      <c r="C37" s="23"/>
      <c r="D37" s="42"/>
      <c r="E37" s="2"/>
      <c r="G37" s="18"/>
      <c r="J37" s="2"/>
    </row>
    <row r="38" spans="1:14" ht="12.75" customHeight="1">
      <c r="A38" s="11"/>
      <c r="B38" s="2"/>
      <c r="D38" s="42"/>
      <c r="E38" s="2"/>
    </row>
    <row r="39" spans="1:14" ht="12.75" customHeight="1">
      <c r="A39" s="22"/>
      <c r="B39" s="22"/>
      <c r="D39" s="42"/>
      <c r="E39" s="22"/>
    </row>
    <row r="40" spans="1:14" ht="21">
      <c r="A40" s="19" t="s">
        <v>66</v>
      </c>
    </row>
    <row r="42" spans="1:14" ht="15.75" thickBot="1">
      <c r="A42" s="30" t="s">
        <v>67</v>
      </c>
      <c r="B42" s="5"/>
      <c r="C42" s="34" t="s">
        <v>68</v>
      </c>
      <c r="D42" s="30" t="s">
        <v>69</v>
      </c>
      <c r="E42" s="5"/>
      <c r="G42" s="30" t="s">
        <v>70</v>
      </c>
      <c r="H42" s="5"/>
      <c r="J42" s="30" t="s">
        <v>71</v>
      </c>
      <c r="K42" s="5"/>
    </row>
    <row r="43" spans="1:14">
      <c r="A43" s="31"/>
      <c r="B43" s="2" t="s">
        <v>7</v>
      </c>
      <c r="C43" s="35">
        <f>D43*15</f>
        <v>0</v>
      </c>
      <c r="D43" s="15"/>
      <c r="E43" s="2" t="s">
        <v>9</v>
      </c>
      <c r="G43" s="13"/>
      <c r="H43" s="2" t="s">
        <v>8</v>
      </c>
      <c r="J43" s="47">
        <f>B8+F8+J8</f>
        <v>0</v>
      </c>
      <c r="K43" s="2" t="s">
        <v>22</v>
      </c>
    </row>
    <row r="44" spans="1:14">
      <c r="A44" s="26"/>
      <c r="B44" s="2" t="s">
        <v>10</v>
      </c>
      <c r="C44" s="35">
        <f t="shared" ref="C44:C50" si="3">D44*15</f>
        <v>0</v>
      </c>
      <c r="D44" s="14"/>
      <c r="E44" s="2" t="s">
        <v>12</v>
      </c>
      <c r="G44" s="13"/>
      <c r="H44" s="2" t="s">
        <v>11</v>
      </c>
      <c r="J44" s="47">
        <f>B9+F9+J9</f>
        <v>0</v>
      </c>
      <c r="K44" s="2" t="s">
        <v>23</v>
      </c>
    </row>
    <row r="45" spans="1:14">
      <c r="A45" s="26"/>
      <c r="B45" s="2" t="s">
        <v>13</v>
      </c>
      <c r="C45" s="35">
        <f t="shared" si="3"/>
        <v>0</v>
      </c>
      <c r="D45" s="14"/>
      <c r="E45" s="2" t="s">
        <v>15</v>
      </c>
      <c r="G45" s="13"/>
      <c r="H45" s="2" t="s">
        <v>14</v>
      </c>
      <c r="J45" s="13"/>
      <c r="K45" s="2" t="s">
        <v>27</v>
      </c>
    </row>
    <row r="46" spans="1:14">
      <c r="A46" s="26"/>
      <c r="B46" s="2" t="s">
        <v>16</v>
      </c>
      <c r="C46" s="35">
        <f t="shared" si="3"/>
        <v>0</v>
      </c>
      <c r="D46" s="14"/>
      <c r="E46" s="2" t="s">
        <v>18</v>
      </c>
      <c r="G46" s="14"/>
      <c r="H46" s="2" t="s">
        <v>101</v>
      </c>
      <c r="J46" s="47">
        <f>B5+F5+J5</f>
        <v>0</v>
      </c>
      <c r="K46" s="2" t="s">
        <v>72</v>
      </c>
    </row>
    <row r="47" spans="1:14">
      <c r="A47" s="26"/>
      <c r="B47" s="2" t="s">
        <v>19</v>
      </c>
      <c r="C47" s="35">
        <f>D47*12</f>
        <v>0</v>
      </c>
      <c r="D47" s="14"/>
      <c r="E47" s="2" t="s">
        <v>21</v>
      </c>
      <c r="J47" s="47">
        <f t="shared" ref="J47:J48" si="4">B6+F6+J6</f>
        <v>0</v>
      </c>
      <c r="K47" s="2" t="s">
        <v>29</v>
      </c>
    </row>
    <row r="48" spans="1:14">
      <c r="A48" s="26"/>
      <c r="B48" s="2" t="s">
        <v>32</v>
      </c>
      <c r="C48" s="35">
        <f>D48*10</f>
        <v>0</v>
      </c>
      <c r="D48" s="14"/>
      <c r="E48" s="2" t="s">
        <v>24</v>
      </c>
      <c r="J48" s="47">
        <f t="shared" si="4"/>
        <v>0</v>
      </c>
      <c r="K48" s="2" t="s">
        <v>73</v>
      </c>
    </row>
    <row r="49" spans="1:11">
      <c r="B49" s="2"/>
      <c r="C49" s="35">
        <f t="shared" si="3"/>
        <v>0</v>
      </c>
      <c r="D49" s="14"/>
      <c r="E49" s="2" t="s">
        <v>26</v>
      </c>
      <c r="J49" s="48">
        <f>B10+F10+J10</f>
        <v>0</v>
      </c>
      <c r="K49" s="2" t="s">
        <v>46</v>
      </c>
    </row>
    <row r="50" spans="1:11">
      <c r="B50" s="2"/>
      <c r="C50" s="35">
        <f t="shared" si="3"/>
        <v>0</v>
      </c>
      <c r="D50" s="14"/>
      <c r="E50" s="2" t="s">
        <v>28</v>
      </c>
      <c r="J50" s="48">
        <f>B11+F11+J11</f>
        <v>0</v>
      </c>
      <c r="K50" s="2" t="s">
        <v>53</v>
      </c>
    </row>
    <row r="51" spans="1:11">
      <c r="B51" s="2"/>
      <c r="C51" s="35">
        <f>D51*8</f>
        <v>0</v>
      </c>
      <c r="D51" s="14"/>
      <c r="E51" s="2" t="s">
        <v>31</v>
      </c>
    </row>
    <row r="52" spans="1:11">
      <c r="C52" s="35">
        <f>D52*8</f>
        <v>0</v>
      </c>
      <c r="D52" s="14"/>
      <c r="E52" s="2" t="s">
        <v>33</v>
      </c>
    </row>
    <row r="57" spans="1:11" ht="15.75" thickBot="1">
      <c r="A57" s="30" t="s">
        <v>74</v>
      </c>
      <c r="B57" s="5"/>
      <c r="F57" s="34" t="s">
        <v>68</v>
      </c>
      <c r="G57" s="30" t="s">
        <v>75</v>
      </c>
      <c r="H57" s="5"/>
    </row>
    <row r="58" spans="1:11">
      <c r="A58" s="13"/>
      <c r="B58" s="2" t="s">
        <v>34</v>
      </c>
      <c r="F58" s="35">
        <f>G58*15</f>
        <v>0</v>
      </c>
      <c r="G58" s="26">
        <f>A45</f>
        <v>0</v>
      </c>
      <c r="H58" s="2" t="s">
        <v>13</v>
      </c>
    </row>
    <row r="59" spans="1:11">
      <c r="A59" s="13"/>
      <c r="B59" s="2" t="s">
        <v>36</v>
      </c>
      <c r="F59" s="35">
        <f t="shared" ref="F59:F61" si="5">G59*15</f>
        <v>0</v>
      </c>
      <c r="G59" s="21">
        <f>A48</f>
        <v>0</v>
      </c>
      <c r="H59" s="2" t="s">
        <v>32</v>
      </c>
    </row>
    <row r="60" spans="1:11">
      <c r="A60" s="13"/>
      <c r="B60" s="2" t="s">
        <v>78</v>
      </c>
      <c r="F60" s="35">
        <f>G60*10</f>
        <v>0</v>
      </c>
      <c r="G60" s="29">
        <f>J45</f>
        <v>0</v>
      </c>
      <c r="H60" s="2" t="s">
        <v>27</v>
      </c>
    </row>
    <row r="61" spans="1:11">
      <c r="A61" s="13"/>
      <c r="B61" s="2" t="s">
        <v>79</v>
      </c>
      <c r="F61" s="35">
        <f t="shared" si="5"/>
        <v>0</v>
      </c>
      <c r="G61" s="26">
        <f>A46</f>
        <v>0</v>
      </c>
      <c r="H61" s="2" t="s">
        <v>16</v>
      </c>
    </row>
    <row r="62" spans="1:11">
      <c r="A62" s="13"/>
      <c r="B62" s="2" t="s">
        <v>40</v>
      </c>
      <c r="F62" s="35">
        <f>G62*15</f>
        <v>0</v>
      </c>
      <c r="G62" s="21">
        <f>G45</f>
        <v>0</v>
      </c>
      <c r="H62" s="2" t="s">
        <v>14</v>
      </c>
    </row>
    <row r="63" spans="1:11">
      <c r="A63" s="13"/>
      <c r="B63" s="2" t="s">
        <v>42</v>
      </c>
      <c r="F63" s="35">
        <f>G63*5</f>
        <v>0</v>
      </c>
      <c r="G63" s="21">
        <f>A47</f>
        <v>0</v>
      </c>
      <c r="H63" s="2" t="s">
        <v>80</v>
      </c>
    </row>
    <row r="64" spans="1:11">
      <c r="A64" s="13"/>
      <c r="B64" s="2" t="s">
        <v>43</v>
      </c>
      <c r="F64" s="35">
        <f>G64*8</f>
        <v>0</v>
      </c>
      <c r="G64" s="21">
        <f>G46</f>
        <v>0</v>
      </c>
      <c r="H64" s="2" t="s">
        <v>17</v>
      </c>
    </row>
    <row r="66" spans="2:11">
      <c r="I66" s="2"/>
    </row>
    <row r="69" spans="2:11">
      <c r="B69" s="2"/>
      <c r="E69" s="2"/>
      <c r="H69" s="2"/>
      <c r="K69" s="2"/>
    </row>
    <row r="70" spans="2:11">
      <c r="B70" s="2"/>
      <c r="E70" s="2"/>
      <c r="H70" s="2"/>
      <c r="K70" s="2"/>
    </row>
    <row r="71" spans="2:11">
      <c r="B71" s="2"/>
      <c r="E71" s="2"/>
      <c r="H71" s="2"/>
    </row>
    <row r="72" spans="2:11">
      <c r="B72" s="2"/>
      <c r="E72" s="2"/>
      <c r="H72" s="2"/>
    </row>
    <row r="73" spans="2:11">
      <c r="B73" s="2"/>
      <c r="H73" s="2"/>
    </row>
    <row r="74" spans="2:11">
      <c r="H74" s="2"/>
    </row>
    <row r="75" spans="2:11">
      <c r="H75" s="2"/>
    </row>
    <row r="76" spans="2:11">
      <c r="H76" s="2"/>
    </row>
    <row r="77" spans="2:11">
      <c r="H77" s="2"/>
    </row>
    <row r="78" spans="2:11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zoomScale="85" zoomScaleNormal="100" zoomScalePageLayoutView="85" workbookViewId="0">
      <selection activeCell="R32" sqref="R32:X33"/>
    </sheetView>
  </sheetViews>
  <sheetFormatPr defaultRowHeight="15"/>
  <cols>
    <col min="1" max="1" width="6.42578125" customWidth="1"/>
    <col min="2" max="2" width="18.5703125" customWidth="1"/>
    <col min="3" max="3" width="6.42578125" customWidth="1"/>
    <col min="4" max="4" width="5" customWidth="1"/>
    <col min="5" max="5" width="15.140625" customWidth="1"/>
    <col min="6" max="6" width="3.85546875" customWidth="1"/>
    <col min="7" max="7" width="6.5703125" customWidth="1"/>
    <col min="8" max="8" width="9.85546875" customWidth="1"/>
    <col min="9" max="9" width="9.42578125" customWidth="1"/>
    <col min="10" max="10" width="6.140625" customWidth="1"/>
    <col min="11" max="11" width="10.85546875" customWidth="1"/>
    <col min="12" max="12" width="9" customWidth="1"/>
    <col min="13" max="13" width="9.140625" customWidth="1"/>
    <col min="14" max="14" width="20.5703125" customWidth="1"/>
    <col min="15" max="15" width="6.85546875" customWidth="1"/>
    <col min="18" max="18" width="10.42578125" customWidth="1"/>
  </cols>
  <sheetData>
    <row r="1" spans="1:24" ht="18.600000000000001" customHeight="1" thickBot="1">
      <c r="A1" s="92" t="s">
        <v>167</v>
      </c>
      <c r="B1" s="92"/>
      <c r="C1" s="45">
        <f>Mon!B2</f>
        <v>29</v>
      </c>
      <c r="D1" s="46"/>
      <c r="E1" s="46"/>
      <c r="N1" t="s">
        <v>168</v>
      </c>
      <c r="R1" t="s">
        <v>169</v>
      </c>
    </row>
    <row r="2" spans="1:24" ht="12.2" customHeight="1">
      <c r="N2" s="56" t="s">
        <v>170</v>
      </c>
      <c r="O2" s="54" t="s">
        <v>171</v>
      </c>
      <c r="P2" s="54" t="s">
        <v>172</v>
      </c>
      <c r="R2" s="51"/>
      <c r="S2" s="51" t="s">
        <v>173</v>
      </c>
      <c r="T2" s="51" t="s">
        <v>174</v>
      </c>
      <c r="U2" s="51" t="s">
        <v>175</v>
      </c>
      <c r="V2" s="51" t="s">
        <v>176</v>
      </c>
      <c r="W2" s="51" t="s">
        <v>177</v>
      </c>
      <c r="X2" s="51" t="s">
        <v>178</v>
      </c>
    </row>
    <row r="3" spans="1:24" ht="12.75" customHeight="1" thickBot="1">
      <c r="A3" s="30" t="s">
        <v>67</v>
      </c>
      <c r="B3" s="5"/>
      <c r="C3" s="24"/>
      <c r="D3" s="30" t="s">
        <v>69</v>
      </c>
      <c r="E3" s="5"/>
      <c r="G3" s="30" t="s">
        <v>70</v>
      </c>
      <c r="H3" s="5"/>
      <c r="J3" s="30" t="s">
        <v>71</v>
      </c>
      <c r="K3" s="5"/>
      <c r="M3" s="22"/>
      <c r="N3" s="52" t="s">
        <v>22</v>
      </c>
      <c r="O3" s="53">
        <f>J4*12</f>
        <v>1680</v>
      </c>
      <c r="P3" s="53">
        <f>O3/125</f>
        <v>13.44</v>
      </c>
      <c r="R3" s="51" t="s">
        <v>179</v>
      </c>
      <c r="S3" s="55">
        <f>12*(D8+J4)</f>
        <v>1716</v>
      </c>
      <c r="T3" s="55">
        <f>15*(A4+D4+G4+J7+J5)+20*D12</f>
        <v>6185</v>
      </c>
      <c r="U3" s="55">
        <f>15*(A5+A9+D5+D9+D10+D11+G5+J6+J8+J10)+20*(A8+D13+G7)</f>
        <v>24505</v>
      </c>
      <c r="V3" s="55">
        <f>15*(A6+J11)</f>
        <v>315</v>
      </c>
      <c r="W3" s="55">
        <f>15*D6</f>
        <v>0</v>
      </c>
      <c r="X3" s="55">
        <f>15*(A7+D7+G6+J9)</f>
        <v>930</v>
      </c>
    </row>
    <row r="4" spans="1:24" ht="12.75" customHeight="1">
      <c r="A4" s="31">
        <f>Mon!A70+Tues!A43+Wed!A42+Thurs!A72+Fri!A43+NFLD!A43</f>
        <v>31</v>
      </c>
      <c r="B4" s="2" t="s">
        <v>7</v>
      </c>
      <c r="C4" s="7"/>
      <c r="D4" s="31">
        <f>Mon!D70+Tues!D43+Wed!D42+Thurs!D72+Fri!D43+NFLD!D43</f>
        <v>33</v>
      </c>
      <c r="E4" s="2" t="s">
        <v>9</v>
      </c>
      <c r="F4" s="7"/>
      <c r="G4" s="31">
        <f>Mon!G70+Tues!G43+Wed!G42+Thurs!G72+Fri!G43+NFLD!G43</f>
        <v>9</v>
      </c>
      <c r="H4" s="2" t="s">
        <v>8</v>
      </c>
      <c r="I4" s="7"/>
      <c r="J4" s="31">
        <f>Mon!J70+Tues!J43+Wed!J42+Thurs!J72+Fri!J43+NFLD!J43</f>
        <v>140</v>
      </c>
      <c r="K4" s="2" t="s">
        <v>22</v>
      </c>
      <c r="M4" s="42"/>
      <c r="N4" s="52" t="s">
        <v>23</v>
      </c>
      <c r="O4" s="53">
        <f>J5*10</f>
        <v>2940</v>
      </c>
      <c r="P4" s="53">
        <f>O4/130</f>
        <v>22.615384615384617</v>
      </c>
      <c r="R4" s="51" t="s">
        <v>180</v>
      </c>
      <c r="S4" s="55">
        <f t="shared" ref="S4:X4" si="0">S3/15</f>
        <v>114.4</v>
      </c>
      <c r="T4" s="55">
        <f t="shared" si="0"/>
        <v>412.33333333333331</v>
      </c>
      <c r="U4" s="55">
        <f t="shared" si="0"/>
        <v>1633.6666666666667</v>
      </c>
      <c r="V4" s="55">
        <f t="shared" si="0"/>
        <v>21</v>
      </c>
      <c r="W4" s="55">
        <f t="shared" si="0"/>
        <v>0</v>
      </c>
      <c r="X4" s="55">
        <f t="shared" si="0"/>
        <v>62</v>
      </c>
    </row>
    <row r="5" spans="1:24" ht="12.75" customHeight="1">
      <c r="A5" s="26">
        <f>Mon!A71+Tues!A44+Wed!A43+Thurs!A73+Fri!A44+NFLD!A44</f>
        <v>175</v>
      </c>
      <c r="B5" s="2" t="s">
        <v>10</v>
      </c>
      <c r="C5" s="24"/>
      <c r="D5" s="26">
        <f>Mon!D71+Tues!D44+Wed!D43+Thurs!D73+Fri!D44+NFLD!D44</f>
        <v>72</v>
      </c>
      <c r="E5" s="2" t="s">
        <v>12</v>
      </c>
      <c r="G5" s="26">
        <f>Mon!G71+Tues!G44+Wed!G43+Thurs!G73+Fri!G44+NFLD!G44</f>
        <v>382</v>
      </c>
      <c r="H5" s="2" t="s">
        <v>11</v>
      </c>
      <c r="J5" s="26">
        <f>Mon!J71+Tues!J44+Wed!J43+Thurs!J73+Fri!J44+NFLD!J44</f>
        <v>294</v>
      </c>
      <c r="K5" s="2" t="s">
        <v>23</v>
      </c>
      <c r="M5" s="42"/>
      <c r="N5" s="52" t="s">
        <v>27</v>
      </c>
      <c r="O5" s="53">
        <f>J6*10</f>
        <v>300</v>
      </c>
      <c r="P5" s="53">
        <f t="shared" ref="P5:P25" si="1">O5/130</f>
        <v>2.3076923076923075</v>
      </c>
      <c r="R5" s="61"/>
      <c r="S5" s="62"/>
      <c r="T5" s="62"/>
      <c r="U5" s="62"/>
      <c r="V5" s="62"/>
      <c r="W5" s="62"/>
      <c r="X5" s="62"/>
    </row>
    <row r="6" spans="1:24" ht="12.75" customHeight="1">
      <c r="A6" s="26">
        <f>Mon!A72+Tues!A45+Wed!A44+Thurs!A74+Fri!A45+NFLD!A45</f>
        <v>4</v>
      </c>
      <c r="B6" s="2" t="s">
        <v>13</v>
      </c>
      <c r="C6" s="24"/>
      <c r="D6" s="26">
        <f>Mon!D72+Tues!D45+Wed!D44+Thurs!D74+Fri!D45+NFLD!D45</f>
        <v>0</v>
      </c>
      <c r="E6" s="2" t="s">
        <v>15</v>
      </c>
      <c r="G6" s="26">
        <f>Mon!G72+Tues!G45+Wed!G44+Thurs!G74+Fri!G45+NFLD!G45</f>
        <v>10</v>
      </c>
      <c r="H6" s="2" t="s">
        <v>14</v>
      </c>
      <c r="J6" s="26">
        <f>Mon!J72+Tues!J45+Wed!J44+Thurs!J74+Fri!J45+NFLD!J45</f>
        <v>30</v>
      </c>
      <c r="K6" s="2" t="s">
        <v>27</v>
      </c>
      <c r="M6" s="42"/>
      <c r="N6" s="52" t="s">
        <v>72</v>
      </c>
      <c r="O6" s="53">
        <f>J7*15</f>
        <v>600</v>
      </c>
      <c r="P6" s="53">
        <f>O6/150</f>
        <v>4</v>
      </c>
    </row>
    <row r="7" spans="1:24" ht="12.75" customHeight="1">
      <c r="A7" s="26">
        <f>Mon!A73+Tues!A46+Wed!A45+Thurs!A75+Fri!A46+NFLD!A46</f>
        <v>35</v>
      </c>
      <c r="B7" s="2" t="s">
        <v>16</v>
      </c>
      <c r="C7" s="24"/>
      <c r="D7" s="26">
        <f>Mon!D73+Tues!D46+Wed!D45+Thurs!D75+Fri!D46+NFLD!D46</f>
        <v>6</v>
      </c>
      <c r="E7" s="2" t="s">
        <v>18</v>
      </c>
      <c r="G7" s="26">
        <f>Mon!G73+Tues!G46+Wed!G45+Thurs!G75+Fri!G46+NFLD!G46</f>
        <v>58</v>
      </c>
      <c r="H7" s="2" t="s">
        <v>101</v>
      </c>
      <c r="J7" s="26">
        <f>Mon!J73+Tues!J46+Wed!J45+Thurs!J75+Fri!J46+NFLD!J46</f>
        <v>40</v>
      </c>
      <c r="K7" s="2" t="s">
        <v>72</v>
      </c>
      <c r="M7" s="42"/>
      <c r="N7" s="52" t="s">
        <v>29</v>
      </c>
      <c r="O7" s="53">
        <f t="shared" ref="O7" si="2">J8*15</f>
        <v>2460</v>
      </c>
      <c r="P7" s="53">
        <f t="shared" ref="P7:P8" si="3">O7/150</f>
        <v>16.399999999999999</v>
      </c>
      <c r="R7" s="12" t="s">
        <v>3</v>
      </c>
      <c r="S7" s="60">
        <f>Mon!B2</f>
        <v>29</v>
      </c>
    </row>
    <row r="8" spans="1:24" ht="12.75" customHeight="1">
      <c r="A8" s="26">
        <f>Mon!A74+Tues!A47+Wed!A46+Thurs!A76+Fri!A47+NFLD!A47</f>
        <v>319</v>
      </c>
      <c r="B8" s="2" t="s">
        <v>19</v>
      </c>
      <c r="C8" s="24"/>
      <c r="D8" s="26">
        <f>Mon!D74+Tues!D47+Wed!D46+Thurs!D76+Fri!D47+NFLD!D47</f>
        <v>3</v>
      </c>
      <c r="E8" s="2" t="s">
        <v>21</v>
      </c>
      <c r="J8" s="26">
        <f>Mon!J74+Tues!J47+Wed!J46+Thurs!J76+Fri!J47+NFLD!J47</f>
        <v>164</v>
      </c>
      <c r="K8" s="2" t="s">
        <v>29</v>
      </c>
      <c r="M8" s="42"/>
      <c r="N8" s="52" t="s">
        <v>73</v>
      </c>
      <c r="O8" s="53">
        <f>J9*15</f>
        <v>165</v>
      </c>
      <c r="P8" s="53">
        <f t="shared" si="3"/>
        <v>1.1000000000000001</v>
      </c>
      <c r="S8" s="57"/>
      <c r="T8" s="58"/>
      <c r="U8" s="58"/>
    </row>
    <row r="9" spans="1:24" ht="12.75" customHeight="1">
      <c r="A9" s="33">
        <f>Mon!A75+Tues!A48+Wed!A47+Thurs!A77+Fri!A48+NFLD!A48</f>
        <v>3</v>
      </c>
      <c r="B9" s="2" t="s">
        <v>32</v>
      </c>
      <c r="C9" s="24"/>
      <c r="D9" s="26">
        <f>Mon!D75+Tues!D48+Wed!D47+Thurs!D77+Fri!D48+NFLD!D48</f>
        <v>90</v>
      </c>
      <c r="E9" s="2" t="s">
        <v>24</v>
      </c>
      <c r="J9" s="26">
        <f>Mon!J75+Tues!J48+Wed!J47+Thurs!J77+Fri!J48+NFLD!J48</f>
        <v>11</v>
      </c>
      <c r="K9" s="2" t="s">
        <v>73</v>
      </c>
      <c r="M9" s="42"/>
      <c r="N9" s="52" t="s">
        <v>181</v>
      </c>
      <c r="O9" s="53">
        <f>7*(J10+J11)+8*(D12+D13+G7)+5*A9</f>
        <v>1962</v>
      </c>
      <c r="P9" s="53">
        <f>O9/140</f>
        <v>14.014285714285714</v>
      </c>
      <c r="S9" s="59"/>
    </row>
    <row r="10" spans="1:24" ht="12.75" customHeight="1">
      <c r="A10" s="7"/>
      <c r="B10" s="2"/>
      <c r="C10" s="24"/>
      <c r="D10" s="26">
        <f>Mon!D76+Tues!D49+Wed!D48+Thurs!D78+Fri!D49+NFLD!D49</f>
        <v>3</v>
      </c>
      <c r="E10" s="2" t="s">
        <v>26</v>
      </c>
      <c r="J10" s="26">
        <f>Mon!J76+Tues!J49+Wed!J48+Thurs!J78+Fri!J49+NFLD!J49</f>
        <v>60</v>
      </c>
      <c r="K10" s="2" t="s">
        <v>46</v>
      </c>
      <c r="M10" s="42"/>
      <c r="N10" s="52" t="s">
        <v>7</v>
      </c>
      <c r="O10" s="53">
        <f>A4*15</f>
        <v>465</v>
      </c>
      <c r="P10" s="53">
        <f>O10/250</f>
        <v>1.86</v>
      </c>
      <c r="S10" s="59"/>
    </row>
    <row r="11" spans="1:24" ht="12.75" customHeight="1">
      <c r="A11" s="7"/>
      <c r="B11" s="2"/>
      <c r="C11" s="24"/>
      <c r="D11" s="26">
        <f>Mon!D77+Tues!D50+Wed!D49+Thurs!D79+Fri!D50+NFLD!D50</f>
        <v>0</v>
      </c>
      <c r="E11" s="2" t="s">
        <v>28</v>
      </c>
      <c r="J11" s="26">
        <f>Mon!J77+Tues!J50+Wed!J49+Thurs!J79+Fri!J50+NFLD!J50</f>
        <v>17</v>
      </c>
      <c r="K11" s="2" t="s">
        <v>53</v>
      </c>
      <c r="M11" s="42"/>
      <c r="N11" s="52" t="s">
        <v>10</v>
      </c>
      <c r="O11" s="53">
        <f t="shared" ref="O11:O12" si="4">A5*15</f>
        <v>2625</v>
      </c>
      <c r="P11" s="53">
        <f t="shared" ref="P11:P13" si="5">O11/250</f>
        <v>10.5</v>
      </c>
      <c r="S11" s="59"/>
    </row>
    <row r="12" spans="1:24" ht="14.1" customHeight="1">
      <c r="A12" s="7"/>
      <c r="B12" s="2"/>
      <c r="C12" s="24"/>
      <c r="D12" s="26">
        <f>Mon!D78+Tues!D51+Wed!D50+Thurs!D80+Fri!D51+NFLD!D51</f>
        <v>4</v>
      </c>
      <c r="E12" s="2" t="s">
        <v>31</v>
      </c>
      <c r="M12" s="42"/>
      <c r="N12" s="52" t="s">
        <v>13</v>
      </c>
      <c r="O12" s="53">
        <f t="shared" si="4"/>
        <v>60</v>
      </c>
      <c r="P12" s="53">
        <f t="shared" si="5"/>
        <v>0.24</v>
      </c>
      <c r="S12" s="59"/>
    </row>
    <row r="13" spans="1:24" ht="12.75" customHeight="1">
      <c r="A13" s="7"/>
      <c r="C13" s="24"/>
      <c r="D13" s="26">
        <f>Mon!D79+Tues!D52+Wed!D51+Thurs!D81+Fri!D52+NFLD!D52</f>
        <v>114</v>
      </c>
      <c r="E13" s="2" t="s">
        <v>33</v>
      </c>
      <c r="M13" s="42"/>
      <c r="N13" s="52" t="s">
        <v>16</v>
      </c>
      <c r="O13" s="53">
        <f>A7*15</f>
        <v>525</v>
      </c>
      <c r="P13" s="53">
        <f t="shared" si="5"/>
        <v>2.1</v>
      </c>
      <c r="S13" s="59"/>
    </row>
    <row r="14" spans="1:24" ht="12.75" customHeight="1">
      <c r="A14" s="7"/>
      <c r="N14" s="52" t="s">
        <v>182</v>
      </c>
      <c r="O14" s="53">
        <f>5*A9</f>
        <v>15</v>
      </c>
      <c r="P14" s="53">
        <f>O14/50</f>
        <v>0.3</v>
      </c>
      <c r="S14" s="59"/>
    </row>
    <row r="15" spans="1:24" ht="12.75" customHeight="1">
      <c r="A15" s="7"/>
      <c r="D15" s="24"/>
      <c r="L15" s="2"/>
      <c r="N15" s="52" t="s">
        <v>32</v>
      </c>
      <c r="O15" s="53">
        <f>15*A9</f>
        <v>45</v>
      </c>
      <c r="P15" s="53">
        <f>O15/250</f>
        <v>0.18</v>
      </c>
    </row>
    <row r="16" spans="1:24" ht="12.75" customHeight="1" thickBot="1">
      <c r="A16" s="49" t="s">
        <v>74</v>
      </c>
      <c r="B16" s="5"/>
      <c r="D16" s="30" t="s">
        <v>75</v>
      </c>
      <c r="E16" s="5"/>
      <c r="G16" s="5" t="s">
        <v>76</v>
      </c>
      <c r="H16" s="30" t="s">
        <v>77</v>
      </c>
      <c r="M16" s="22"/>
      <c r="N16" s="52" t="s">
        <v>8</v>
      </c>
      <c r="O16" s="53">
        <f>15*G4</f>
        <v>135</v>
      </c>
      <c r="P16" s="53">
        <f t="shared" ref="P16:P18" si="6">O16/250</f>
        <v>0.54</v>
      </c>
    </row>
    <row r="17" spans="1:24" ht="12.75" customHeight="1">
      <c r="A17" s="32">
        <f>Mon!A85+Tues!A58+Wed!A57+Thurs!A87+Fri!A58+NFLD!A58</f>
        <v>2</v>
      </c>
      <c r="B17" s="2" t="s">
        <v>34</v>
      </c>
      <c r="D17" s="26">
        <f>A6</f>
        <v>4</v>
      </c>
      <c r="E17" s="2" t="s">
        <v>13</v>
      </c>
      <c r="G17" s="15">
        <f>Mon!J85+Tues!J58+Thurs!J87+Fri!J58</f>
        <v>0</v>
      </c>
      <c r="H17" t="s">
        <v>7</v>
      </c>
      <c r="M17" s="42"/>
      <c r="N17" s="52" t="s">
        <v>11</v>
      </c>
      <c r="O17" s="53">
        <f t="shared" ref="O17:O18" si="7">15*G5</f>
        <v>5730</v>
      </c>
      <c r="P17" s="53">
        <f t="shared" si="6"/>
        <v>22.92</v>
      </c>
    </row>
    <row r="18" spans="1:24" ht="12.75" customHeight="1">
      <c r="A18" s="26">
        <f>Mon!A86+Tues!A59+Wed!A58+Thurs!A88+Fri!A59+NFLD!A59</f>
        <v>5</v>
      </c>
      <c r="B18" s="2" t="s">
        <v>36</v>
      </c>
      <c r="D18" s="21">
        <f>A9</f>
        <v>3</v>
      </c>
      <c r="E18" s="2" t="s">
        <v>32</v>
      </c>
      <c r="F18" s="24"/>
      <c r="G18" s="14">
        <f>Mon!J86+Tues!J59+Thurs!J88+Fri!J59</f>
        <v>2</v>
      </c>
      <c r="H18" t="s">
        <v>10</v>
      </c>
      <c r="N18" s="52" t="s">
        <v>14</v>
      </c>
      <c r="O18" s="53">
        <f t="shared" si="7"/>
        <v>150</v>
      </c>
      <c r="P18" s="53">
        <f t="shared" si="6"/>
        <v>0.6</v>
      </c>
    </row>
    <row r="19" spans="1:24" ht="12.75" customHeight="1">
      <c r="A19" s="26">
        <f>Mon!A87+Tues!A60+Wed!A59+Thurs!A89+Fri!A60+NFLD!A60</f>
        <v>1</v>
      </c>
      <c r="B19" s="2" t="s">
        <v>78</v>
      </c>
      <c r="D19" s="29">
        <f>J6</f>
        <v>30</v>
      </c>
      <c r="E19" s="2" t="s">
        <v>27</v>
      </c>
      <c r="F19" s="24"/>
      <c r="G19" s="14">
        <f>Mon!J87+Tues!J60+Thurs!J89+Fri!J60</f>
        <v>10</v>
      </c>
      <c r="H19" s="2" t="s">
        <v>19</v>
      </c>
      <c r="N19" s="52" t="s">
        <v>183</v>
      </c>
      <c r="O19" s="53">
        <f>8*G7</f>
        <v>464</v>
      </c>
      <c r="P19" s="53">
        <f>O19/50</f>
        <v>9.2799999999999994</v>
      </c>
    </row>
    <row r="20" spans="1:24" ht="12.75" customHeight="1">
      <c r="A20" s="26">
        <f>Mon!A88+Tues!A61+Wed!A60+Thurs!A90+Fri!A61+NFLD!A61</f>
        <v>2</v>
      </c>
      <c r="B20" s="2" t="s">
        <v>79</v>
      </c>
      <c r="D20" s="26">
        <f>A7</f>
        <v>35</v>
      </c>
      <c r="E20" s="2" t="s">
        <v>16</v>
      </c>
      <c r="F20" s="24"/>
      <c r="G20" s="14">
        <f>Mon!J88+Tues!J61+Thurs!J90+Fri!J61</f>
        <v>0</v>
      </c>
      <c r="H20" s="2" t="s">
        <v>8</v>
      </c>
      <c r="N20" s="52" t="s">
        <v>9</v>
      </c>
      <c r="O20" s="53">
        <f>15*D4</f>
        <v>495</v>
      </c>
      <c r="P20" s="53">
        <f>O20/150</f>
        <v>3.3</v>
      </c>
    </row>
    <row r="21" spans="1:24" ht="12.75" customHeight="1">
      <c r="A21" s="26">
        <f>Mon!A89+Tues!A62+Wed!A61+Thurs!A91+Fri!A62+NFLD!A62</f>
        <v>2</v>
      </c>
      <c r="B21" s="2" t="s">
        <v>40</v>
      </c>
      <c r="D21" s="21">
        <f>G6</f>
        <v>10</v>
      </c>
      <c r="E21" s="2" t="s">
        <v>14</v>
      </c>
      <c r="F21" s="24"/>
      <c r="G21" s="14">
        <f>Mon!J89+Tues!J62+Thurs!J91+Fri!J62</f>
        <v>7</v>
      </c>
      <c r="H21" s="2" t="s">
        <v>11</v>
      </c>
      <c r="N21" s="52" t="s">
        <v>12</v>
      </c>
      <c r="O21" s="53">
        <f t="shared" ref="O21:O23" si="8">15*D5</f>
        <v>1080</v>
      </c>
      <c r="P21" s="53">
        <f t="shared" ref="P21:P23" si="9">O21/150</f>
        <v>7.2</v>
      </c>
    </row>
    <row r="22" spans="1:24" ht="12.75" customHeight="1">
      <c r="A22" s="26">
        <f>Mon!A90+Tues!A63+Wed!A62+Thurs!A92+Fri!A63+NFLD!A63</f>
        <v>2</v>
      </c>
      <c r="B22" s="2" t="s">
        <v>42</v>
      </c>
      <c r="D22" s="21">
        <f>A8</f>
        <v>319</v>
      </c>
      <c r="E22" s="2" t="s">
        <v>80</v>
      </c>
      <c r="F22" s="24"/>
      <c r="G22" s="14">
        <f>Mon!J90+Tues!J63+Thurs!J92+Fri!J63</f>
        <v>0</v>
      </c>
      <c r="H22" s="2" t="s">
        <v>17</v>
      </c>
      <c r="N22" s="52" t="s">
        <v>15</v>
      </c>
      <c r="O22" s="53">
        <f t="shared" si="8"/>
        <v>0</v>
      </c>
      <c r="P22" s="53">
        <f t="shared" si="9"/>
        <v>0</v>
      </c>
    </row>
    <row r="23" spans="1:24" ht="12.75" customHeight="1">
      <c r="A23" s="26">
        <f>Mon!A91+Tues!A64+Wed!A63+Thurs!A93+Fri!A64+NFLD!A64</f>
        <v>4</v>
      </c>
      <c r="B23" s="2" t="s">
        <v>43</v>
      </c>
      <c r="D23" s="21">
        <f>G7</f>
        <v>58</v>
      </c>
      <c r="E23" s="2" t="s">
        <v>17</v>
      </c>
      <c r="F23" s="24"/>
      <c r="G23" s="14">
        <f>Mon!J91+Tues!J64+Thurs!J93+Fri!J64</f>
        <v>3</v>
      </c>
      <c r="H23" s="2" t="s">
        <v>23</v>
      </c>
      <c r="N23" s="52" t="s">
        <v>18</v>
      </c>
      <c r="O23" s="53">
        <f t="shared" si="8"/>
        <v>90</v>
      </c>
      <c r="P23" s="53">
        <f t="shared" si="9"/>
        <v>0.6</v>
      </c>
    </row>
    <row r="24" spans="1:24" ht="12.75" customHeight="1">
      <c r="F24" s="24"/>
      <c r="G24" s="14">
        <f>Mon!J92+Tues!J65+Thurs!J94+Fri!J65</f>
        <v>0</v>
      </c>
      <c r="H24" s="2" t="s">
        <v>27</v>
      </c>
      <c r="N24" s="52" t="s">
        <v>21</v>
      </c>
      <c r="O24" s="53">
        <f>12*D8</f>
        <v>36</v>
      </c>
      <c r="P24" s="53">
        <f>O24/125</f>
        <v>0.28799999999999998</v>
      </c>
    </row>
    <row r="25" spans="1:24" ht="12.75" customHeight="1">
      <c r="F25" s="24"/>
      <c r="N25" s="52" t="s">
        <v>24</v>
      </c>
      <c r="O25" s="53">
        <f>10*D9</f>
        <v>900</v>
      </c>
      <c r="P25" s="53">
        <f t="shared" si="1"/>
        <v>6.9230769230769234</v>
      </c>
    </row>
    <row r="26" spans="1:24" ht="12.75" customHeight="1">
      <c r="D26" s="42"/>
      <c r="E26" s="2"/>
      <c r="G26" s="42"/>
      <c r="H26" s="2"/>
      <c r="N26" s="52" t="s">
        <v>26</v>
      </c>
      <c r="O26" s="53">
        <f>15*D10</f>
        <v>45</v>
      </c>
      <c r="P26" s="53">
        <f>O26/125</f>
        <v>0.36</v>
      </c>
    </row>
    <row r="27" spans="1:24" ht="12.75" customHeight="1">
      <c r="D27" s="42"/>
      <c r="E27" s="2"/>
      <c r="G27" s="42"/>
      <c r="H27" s="2"/>
      <c r="N27" s="52" t="s">
        <v>28</v>
      </c>
      <c r="O27" s="53">
        <f>15*D11</f>
        <v>0</v>
      </c>
      <c r="P27" s="53">
        <f>O27/125</f>
        <v>0</v>
      </c>
    </row>
    <row r="28" spans="1:24" ht="12.75" customHeight="1">
      <c r="D28" s="42"/>
      <c r="E28" s="2"/>
      <c r="J28" s="18"/>
      <c r="N28" s="52" t="s">
        <v>184</v>
      </c>
      <c r="O28" s="53">
        <f>8*D12</f>
        <v>32</v>
      </c>
      <c r="P28" s="53">
        <f>O28/50</f>
        <v>0.64</v>
      </c>
    </row>
    <row r="29" spans="1:24" ht="12.75" customHeight="1">
      <c r="D29" s="42"/>
      <c r="E29" s="2"/>
      <c r="J29" s="42"/>
      <c r="N29" s="52" t="s">
        <v>185</v>
      </c>
      <c r="O29" s="53">
        <f>8*D13</f>
        <v>912</v>
      </c>
      <c r="P29" s="53">
        <f>O29/50</f>
        <v>18.239999999999998</v>
      </c>
    </row>
    <row r="30" spans="1:24" ht="12.75" customHeight="1">
      <c r="D30" s="42"/>
      <c r="E30" s="2"/>
      <c r="J30" s="42"/>
    </row>
    <row r="31" spans="1:24" ht="12.75" customHeight="1">
      <c r="D31" s="42"/>
      <c r="E31" s="2"/>
      <c r="J31" s="42"/>
      <c r="N31" s="56" t="s">
        <v>186</v>
      </c>
      <c r="O31" s="56" t="s">
        <v>171</v>
      </c>
      <c r="P31" s="56" t="s">
        <v>172</v>
      </c>
    </row>
    <row r="32" spans="1:24" ht="12.75" customHeight="1">
      <c r="D32" s="42"/>
      <c r="E32" s="2"/>
      <c r="J32" s="42"/>
      <c r="M32" s="22"/>
      <c r="N32" s="52" t="s">
        <v>187</v>
      </c>
      <c r="O32" s="51">
        <f>A4+D4+G4+J5+J7-24*(G17+G20+G23)</f>
        <v>335</v>
      </c>
      <c r="P32" s="51">
        <f>O32/25-24*(G17+G20+G23)</f>
        <v>-58.6</v>
      </c>
      <c r="R32" s="93" t="s">
        <v>188</v>
      </c>
      <c r="S32" s="93"/>
      <c r="T32" s="93"/>
      <c r="U32" s="93"/>
      <c r="V32" s="93"/>
      <c r="W32" s="93"/>
      <c r="X32" s="93"/>
    </row>
    <row r="33" spans="1:24" ht="18.600000000000001" customHeight="1">
      <c r="D33" s="42"/>
      <c r="E33" s="2"/>
      <c r="G33" s="2"/>
      <c r="J33" s="42"/>
      <c r="M33" s="42"/>
      <c r="N33" s="51" t="s">
        <v>189</v>
      </c>
      <c r="O33" s="51">
        <f>A5+A8+A9+D5+D10+D11+G5+J6+J8+J10-24*(G18+G21+G24)-20*G19</f>
        <v>792</v>
      </c>
      <c r="P33" s="51">
        <f>O33/25-24*(G18+G21+G24)-20*G19</f>
        <v>-384.32</v>
      </c>
      <c r="R33" s="93"/>
      <c r="S33" s="93"/>
      <c r="T33" s="93"/>
      <c r="U33" s="93"/>
      <c r="V33" s="93"/>
      <c r="W33" s="93"/>
      <c r="X33" s="93"/>
    </row>
    <row r="34" spans="1:24" ht="12.75" customHeight="1">
      <c r="D34" s="42"/>
      <c r="E34" s="2"/>
      <c r="G34" s="2"/>
      <c r="J34" s="42"/>
      <c r="N34" s="51" t="s">
        <v>190</v>
      </c>
      <c r="O34" s="51">
        <f>D8+D9+J4</f>
        <v>233</v>
      </c>
      <c r="P34" s="51">
        <f t="shared" ref="P34:P36" si="10">O34/25</f>
        <v>9.32</v>
      </c>
    </row>
    <row r="35" spans="1:24" ht="12.75" customHeight="1">
      <c r="D35" s="42"/>
      <c r="E35" s="2"/>
      <c r="F35" s="1"/>
      <c r="G35" s="2"/>
      <c r="J35" s="42"/>
      <c r="N35" s="51" t="s">
        <v>191</v>
      </c>
      <c r="O35" s="51">
        <f>A6+J11</f>
        <v>21</v>
      </c>
      <c r="P35" s="51">
        <f t="shared" si="10"/>
        <v>0.84</v>
      </c>
    </row>
    <row r="36" spans="1:24" ht="12.75" customHeight="1">
      <c r="A36" s="24"/>
      <c r="D36" s="42"/>
      <c r="E36" s="2"/>
      <c r="N36" s="51" t="s">
        <v>192</v>
      </c>
      <c r="O36" s="51">
        <f>A7+G6+D7+D6+J9</f>
        <v>62</v>
      </c>
      <c r="P36" s="51">
        <f t="shared" si="10"/>
        <v>2.48</v>
      </c>
    </row>
    <row r="37" spans="1:24" ht="12.75" customHeight="1">
      <c r="B37" s="2"/>
      <c r="C37" s="23"/>
      <c r="D37" s="42"/>
      <c r="E37" s="2"/>
      <c r="G37" s="18"/>
      <c r="J37" s="2"/>
      <c r="N37" s="51" t="s">
        <v>193</v>
      </c>
      <c r="O37" s="51">
        <f>D12+D13</f>
        <v>118</v>
      </c>
      <c r="P37" s="51">
        <f>O37/20</f>
        <v>5.9</v>
      </c>
    </row>
    <row r="38" spans="1:24" ht="12.75" customHeight="1">
      <c r="A38" s="11"/>
      <c r="B38" s="2"/>
      <c r="D38" s="42"/>
      <c r="E38" s="2"/>
      <c r="N38" s="51" t="s">
        <v>194</v>
      </c>
      <c r="O38" s="51">
        <f>G7-13*G22</f>
        <v>58</v>
      </c>
      <c r="P38" s="51">
        <f>O38/20-13*G22</f>
        <v>2.9</v>
      </c>
    </row>
    <row r="39" spans="1:24" ht="12.75" customHeight="1">
      <c r="A39" s="22"/>
      <c r="B39" s="22"/>
      <c r="D39" s="42"/>
      <c r="E39" s="22"/>
    </row>
    <row r="40" spans="1:24" ht="21">
      <c r="A40" s="19"/>
    </row>
    <row r="66" spans="2:11">
      <c r="I66" s="2"/>
    </row>
    <row r="69" spans="2:11">
      <c r="B69" s="2"/>
      <c r="E69" s="2"/>
      <c r="H69" s="2"/>
      <c r="K69" s="2"/>
    </row>
    <row r="70" spans="2:11">
      <c r="B70" s="2"/>
      <c r="E70" s="2"/>
      <c r="H70" s="2"/>
      <c r="K70" s="2"/>
    </row>
    <row r="71" spans="2:11">
      <c r="B71" s="2"/>
      <c r="E71" s="2"/>
      <c r="H71" s="2"/>
    </row>
    <row r="72" spans="2:11">
      <c r="B72" s="2"/>
      <c r="E72" s="2"/>
      <c r="H72" s="2"/>
    </row>
    <row r="73" spans="2:11">
      <c r="B73" s="2"/>
      <c r="H73" s="2"/>
    </row>
    <row r="74" spans="2:11">
      <c r="H74" s="2"/>
    </row>
    <row r="75" spans="2:11">
      <c r="H75" s="2"/>
    </row>
    <row r="76" spans="2:11">
      <c r="H76" s="2"/>
    </row>
    <row r="77" spans="2:11">
      <c r="H77" s="2"/>
    </row>
    <row r="78" spans="2:11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farmcomp1</dc:creator>
  <cp:keywords/>
  <dc:description/>
  <cp:lastModifiedBy>aaron eyking</cp:lastModifiedBy>
  <cp:revision/>
  <dcterms:created xsi:type="dcterms:W3CDTF">2014-06-06T13:58:10Z</dcterms:created>
  <dcterms:modified xsi:type="dcterms:W3CDTF">2025-06-20T13:57:11Z</dcterms:modified>
  <cp:category/>
  <cp:contentStatus/>
</cp:coreProperties>
</file>