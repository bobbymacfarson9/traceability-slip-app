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71640753-E1D7-4301-A136-7EB1593E9D74}" xr6:coauthVersionLast="47" xr6:coauthVersionMax="47" xr10:uidLastSave="{00000000-0000-0000-0000-000000000000}"/>
  <bookViews>
    <workbookView xWindow="-120" yWindow="-120" windowWidth="29040" windowHeight="1551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C81" i="8" s="1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<sst xmlns="http://schemas.openxmlformats.org/spreadsheetml/2006/main" count="1130" uniqueCount="194">
  <si>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</si>
  <si>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</si>
  <si>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</si>
  <si>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</si>
  <si>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</si>
  <si>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</si>
  <si>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</si>
  <si>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</si>
  <si>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</si>
  <si>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</si>
  <si>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</si>
  <si>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</si>
  <si>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</si>
  <si>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</si>
  <si>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</si>
  <si>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</si>
  <si>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</si>
  <si>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</si>
  <si>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</si>
  <si>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</si>
  <si>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</si>
  <si>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</si>
  <si>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</si>
  <si>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</si>
  <si>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</si>
  <si>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</si>
  <si>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</si>
  <si>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</si>
  <si>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</si>
  <si>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</si>
  <si>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</si>
  <si>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</si>
  <si>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</si>
  <si>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</si>
  <si>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</si>
  <si>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</si>
  <si>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</si>
  <si>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</si>
  <si>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</si>
  <si>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</si>
  <si>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</si>
  <si>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</si>
  <si>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</si>
  <si>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</si>
  <si>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</si>
  <si>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</si>
  <si>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</si>
  <si>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</si>
  <si>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</si>
  <si>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</si>
  <si>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</si>
  <si>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</si>
  <si>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</si>
  <si>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</si>
  <si>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</si>
  <si>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</si>
  <si>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</si>
  <si>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</si>
  <si>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</si>
  <si>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</si>
  <si>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</si>
  <si>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</si>
  <si>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</si>
  <si>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</si>
  <si>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</si>
  <si>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</si>
  <si>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</si>
  <si>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</si>
  <si>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</si>
  <si>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</si>
  <si>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</si>
  <si>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</si>
  <si>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</si>
  <si>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</si>
  <si>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</si>
  <si>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</si>
  <si>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</si>
  <si>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</si>
  <si>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</si>
  <si>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</si>
  <si>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</si>
  <si>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</si>
  <si>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</si>
  <si>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</si>
  <si>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</si>
  <si>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</si>
  <si>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</si>
  <si>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</si>
  <si>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</si>
  <si>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</si>
  <si>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</si>
  <si>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</si>
  <si>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</si>
  <si>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</si>
  <si>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</si>
  <si>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</si>
  <si>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</si>
  <si>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</si>
  <si>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</si>
  <si>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</si>
  <si>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</si>
  <si>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</si>
  <si>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</si>
  <si>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</si>
  <si>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</si>
  <si>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</si>
  <si>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</si>
  <si>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</si>
  <si>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</si>
  <si>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</si>
  <si>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</si>
  <si>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</si>
  <si>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</si>
  <si>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</si>
  <si>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</si>
  <si>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</si>
  <si>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</si>
  <si>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</si>
  <si>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</si>
  <si>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</si>
  <si>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</si>
  <si>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</si>
  <si>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</si>
  <si>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</si>
  <si>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</si>
  <si>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</si>
  <si>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</si>
  <si>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</si>
  <si>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</si>
  <si>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</si>
  <si>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</si>
  <si>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</si>
  <si>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</si>
  <si>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</si>
  <si>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</si>
  <si>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</si>
  <si>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</si>
  <si>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</si>
  <si>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</si>
  <si>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</si>
  <si>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</si>
  <si>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</si>
  <si>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</si>
  <si>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</si>
  <si>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</si>
  <si>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</si>
  <si>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</si>
  <si>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</si>
  <si>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</si>
  <si>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</si>
  <si>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</si>
  <si>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</si>
  <si>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</si>
  <si>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</si>
  <si>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</si>
  <si>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</si>
  <si>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</si>
  <si>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</si>
  <si>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</si>
  <si>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</si>
  <si>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</si>
  <si>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</si>
  <si>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</si>
  <si>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</si>
  <si>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</si>
  <si>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</si>
  <si>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</si>
  <si>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</si>
  <si>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</si>
  <si>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</si>
  <si>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</si>
  <si>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</si>
  <si>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</si>
  <si>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</si>
  <si>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</si>
  <si>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</si>
  <si>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</si>
  <si>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</si>
  <si>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</si>
  <si>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</si>
  <si>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</si>
  <si>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</si>
  <si>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</si>
  <si>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</si>
  <si>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</si>
  <si>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</si>
  <si>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</si>
  <si>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</si>
  <si>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</si>
  <si>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</si>
  <si>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</si>
  <si>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</si>
  <si>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</si>
  <si>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Lg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</si>
</sst>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6" sqref="K6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138</v>
      </c>
      <c r="B1" s="91"/>
      <c r="C1" s="90">
        <f>DATE(2024,1,1)+(B2-1)*7</f>
        <v>45439</v>
      </c>
      <c r="D1" s="91"/>
      <c r="E1" s="91"/>
      <c r="G1" s="63" t="s">
        <v>175</v>
      </c>
      <c r="H1" s="64">
        <f>C1+42-1</f>
        <v>45480</v>
      </c>
      <c r="K1" s="19" t="s">
        <v>38</v>
      </c>
    </row>
    <row r="2" spans="1:11" ht="15.75" x14ac:dyDescent="0.25">
      <c r="A2" s="41" t="s">
        <v>137</v>
      </c>
      <c r="B2" s="50">
        <v>22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2</v>
      </c>
      <c r="E5" s="2" t="s">
        <v>45</v>
      </c>
      <c r="G5" s="39">
        <v>4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0</v>
      </c>
      <c r="E6" s="2" t="s">
        <v>46</v>
      </c>
      <c r="G6" s="39">
        <v>6</v>
      </c>
      <c r="H6" s="2" t="s">
        <v>20</v>
      </c>
    </row>
    <row r="7" spans="1:11" x14ac:dyDescent="0.25">
      <c r="A7" s="39">
        <v>0</v>
      </c>
      <c r="B7" s="2" t="s">
        <v>4</v>
      </c>
      <c r="D7" s="39">
        <v>0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2</v>
      </c>
      <c r="E8" s="2" t="s">
        <v>135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5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4</v>
      </c>
      <c r="B10" s="2" t="s">
        <v>9</v>
      </c>
      <c r="D10" s="39">
        <v>8</v>
      </c>
      <c r="E10" s="16" t="s">
        <v>7</v>
      </c>
      <c r="G10" s="39">
        <v>2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17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4868276507</v>
      </c>
      <c r="G13" s="39">
        <v>4</v>
      </c>
      <c r="H13" s="2" t="s">
        <v>26</v>
      </c>
    </row>
    <row r="14" spans="1:11" x14ac:dyDescent="0.25">
      <c r="A14" s="39">
        <v>1</v>
      </c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20</v>
      </c>
      <c r="H15" s="2" t="s">
        <v>35</v>
      </c>
    </row>
    <row r="16" spans="1:11" x14ac:dyDescent="0.25">
      <c r="A16" s="39">
        <v>1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188</v>
      </c>
      <c r="D17" s="39">
        <v>1</v>
      </c>
      <c r="E17" s="2" t="s">
        <v>30</v>
      </c>
      <c r="G17" s="2" t="s">
        <v>36</v>
      </c>
      <c r="H17" s="16">
        <v>8487</v>
      </c>
    </row>
    <row r="18" spans="1:9" x14ac:dyDescent="0.25">
      <c r="A18" s="39">
        <v>0</v>
      </c>
      <c r="B18" s="2" t="s">
        <v>187</v>
      </c>
      <c r="D18" s="39">
        <v>1</v>
      </c>
      <c r="E18" s="16" t="s">
        <v>12</v>
      </c>
    </row>
    <row r="19" spans="1:9" x14ac:dyDescent="0.25">
      <c r="A19" s="39">
        <v>0</v>
      </c>
      <c r="B19" s="2" t="s">
        <v>189</v>
      </c>
      <c r="D19" s="39">
        <f>SUM(D16:D18)</f>
        <v>26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28</v>
      </c>
      <c r="B22" s="2" t="s">
        <v>35</v>
      </c>
      <c r="D22" s="74">
        <v>3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0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14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138</v>
      </c>
      <c r="B34" s="91"/>
      <c r="C34" s="90">
        <f>C1</f>
        <v>45439</v>
      </c>
      <c r="D34" s="91"/>
      <c r="E34" s="91"/>
      <c r="G34" s="63" t="s">
        <v>175</v>
      </c>
      <c r="H34" s="67">
        <f>H1</f>
        <v>45480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0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2</v>
      </c>
      <c r="B38" s="2" t="s">
        <v>42</v>
      </c>
      <c r="D38" s="39">
        <v>24</v>
      </c>
      <c r="E38" s="2" t="s">
        <v>20</v>
      </c>
      <c r="G38" s="39">
        <v>15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1</v>
      </c>
      <c r="B40" s="2" t="s">
        <v>5</v>
      </c>
      <c r="D40" s="39">
        <v>0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8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2</v>
      </c>
      <c r="B42" s="2" t="s">
        <v>9</v>
      </c>
      <c r="D42" s="39">
        <v>36</v>
      </c>
      <c r="E42" s="2" t="s">
        <v>22</v>
      </c>
      <c r="G42" s="39">
        <v>20</v>
      </c>
      <c r="H42" s="2" t="s">
        <v>22</v>
      </c>
    </row>
    <row r="43" spans="1:11" x14ac:dyDescent="0.25">
      <c r="A43" s="39">
        <v>6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2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1</v>
      </c>
      <c r="B46" s="2" t="s">
        <v>15</v>
      </c>
      <c r="D46" s="39">
        <v>18</v>
      </c>
      <c r="E46" s="16" t="s">
        <v>28</v>
      </c>
      <c r="G46" s="39">
        <v>40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78</v>
      </c>
      <c r="E47" s="2" t="s">
        <v>35</v>
      </c>
      <c r="G47" s="39">
        <f>SUM(G37:G46)</f>
        <v>88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188</v>
      </c>
      <c r="D49" s="2" t="s">
        <v>36</v>
      </c>
      <c r="E49" s="16">
        <v>1815</v>
      </c>
      <c r="G49" s="2" t="s">
        <v>36</v>
      </c>
      <c r="H49" s="16">
        <v>7455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4</v>
      </c>
      <c r="H53" s="2" t="s">
        <v>32</v>
      </c>
    </row>
    <row r="54" spans="1:9" x14ac:dyDescent="0.25">
      <c r="A54" s="39">
        <f>SUM(A37:A53)</f>
        <v>23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4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20</v>
      </c>
      <c r="H56" s="2" t="s">
        <v>135</v>
      </c>
    </row>
    <row r="57" spans="1:9" x14ac:dyDescent="0.25">
      <c r="G57" s="39">
        <v>8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20</v>
      </c>
      <c r="E59" s="2" t="s">
        <v>29</v>
      </c>
      <c r="G59" s="39">
        <f>SUM(G53:G58)</f>
        <v>84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4868253890</v>
      </c>
    </row>
    <row r="62" spans="1:9" x14ac:dyDescent="0.25">
      <c r="D62" s="39">
        <f>SUM(D59:D61)</f>
        <v>20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2</v>
      </c>
      <c r="B70" s="2" t="s">
        <v>41</v>
      </c>
      <c r="C70" s="35">
        <f>D70*15</f>
        <v>210</v>
      </c>
      <c r="D70" s="15">
        <f t="shared" ref="D70:D79" si="0">G5+D37+G37</f>
        <v>14</v>
      </c>
      <c r="E70" s="2" t="s">
        <v>19</v>
      </c>
      <c r="G70" s="13">
        <f>D5+G53</f>
        <v>6</v>
      </c>
      <c r="H70" s="2" t="s">
        <v>45</v>
      </c>
      <c r="J70" s="13">
        <f>A10+D9+A30+A42+G57</f>
        <v>19</v>
      </c>
      <c r="K70" s="2" t="s">
        <v>9</v>
      </c>
    </row>
    <row r="71" spans="1:11" x14ac:dyDescent="0.25">
      <c r="A71" s="26">
        <f>A6+A27+A38</f>
        <v>2</v>
      </c>
      <c r="B71" s="2" t="s">
        <v>42</v>
      </c>
      <c r="C71" s="35">
        <f t="shared" ref="C71:C77" si="1">D71*15</f>
        <v>675</v>
      </c>
      <c r="D71" s="14">
        <f t="shared" si="0"/>
        <v>45</v>
      </c>
      <c r="E71" s="2" t="s">
        <v>20</v>
      </c>
      <c r="G71" s="14">
        <f>D6+D16+D59+G54+D53</f>
        <v>92</v>
      </c>
      <c r="H71" s="2" t="s">
        <v>46</v>
      </c>
      <c r="J71" s="13">
        <f>A11+D10+A31+A43+G58</f>
        <v>38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6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15</v>
      </c>
      <c r="D73" s="14">
        <f t="shared" si="0"/>
        <v>1</v>
      </c>
      <c r="E73" s="2" t="s">
        <v>21</v>
      </c>
      <c r="G73" s="14">
        <f>D8+G56</f>
        <v>22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28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4</v>
      </c>
      <c r="K74" s="2" t="s">
        <v>44</v>
      </c>
    </row>
    <row r="75" spans="1:11" x14ac:dyDescent="0.25">
      <c r="A75" s="21">
        <f>A14+A46</f>
        <v>2</v>
      </c>
      <c r="B75" s="2" t="s">
        <v>15</v>
      </c>
      <c r="C75" s="35">
        <f>D75*10</f>
        <v>580</v>
      </c>
      <c r="D75" s="14">
        <f t="shared" si="0"/>
        <v>58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14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32</v>
      </c>
      <c r="D78" s="14">
        <f t="shared" si="0"/>
        <v>4</v>
      </c>
      <c r="E78" s="2" t="s">
        <v>26</v>
      </c>
    </row>
    <row r="79" spans="1:11" x14ac:dyDescent="0.25">
      <c r="C79" s="35">
        <f>D79*8</f>
        <v>496</v>
      </c>
      <c r="D79" s="14">
        <f t="shared" si="0"/>
        <v>62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0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1</v>
      </c>
      <c r="B86" s="2" t="s">
        <v>16</v>
      </c>
      <c r="F86" s="35">
        <f t="shared" ref="F86:F89" si="2">G86*15</f>
        <v>30</v>
      </c>
      <c r="G86" s="21">
        <f>A75</f>
        <v>2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1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2</v>
      </c>
      <c r="B89" s="2" t="s">
        <v>12</v>
      </c>
      <c r="F89" s="35">
        <f t="shared" si="2"/>
        <v>90</v>
      </c>
      <c r="G89" s="21">
        <f>G72</f>
        <v>6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140</v>
      </c>
      <c r="G90" s="21">
        <f>A74</f>
        <v>28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176</v>
      </c>
      <c r="G91" s="21">
        <f>G73</f>
        <v>22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J33" sqref="J33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138</v>
      </c>
      <c r="B1" s="91"/>
      <c r="C1" s="90">
        <f>DATE(2024,1,1)+(Mon!B2-1)*7+1</f>
        <v>45440</v>
      </c>
      <c r="D1" s="90"/>
      <c r="E1" s="90"/>
      <c r="G1" s="63" t="s">
        <v>175</v>
      </c>
      <c r="H1" s="64">
        <f>Mon!C1+42-1</f>
        <v>45480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8</v>
      </c>
      <c r="B5" s="2" t="s">
        <v>42</v>
      </c>
      <c r="D5" s="39">
        <v>6</v>
      </c>
      <c r="E5" s="2" t="s">
        <v>42</v>
      </c>
      <c r="G5" s="39">
        <v>5</v>
      </c>
      <c r="H5" s="2" t="s">
        <v>42</v>
      </c>
      <c r="J5" s="39">
        <v>5</v>
      </c>
      <c r="K5" s="2" t="s">
        <v>42</v>
      </c>
    </row>
    <row r="6" spans="1:11" ht="12.4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5</v>
      </c>
      <c r="K8" s="2" t="s">
        <v>6</v>
      </c>
    </row>
    <row r="9" spans="1:11" ht="12.4" customHeight="1" x14ac:dyDescent="0.25">
      <c r="A9" s="39">
        <v>8</v>
      </c>
      <c r="B9" s="2" t="s">
        <v>9</v>
      </c>
      <c r="D9" s="39">
        <v>5</v>
      </c>
      <c r="E9" s="2" t="s">
        <v>9</v>
      </c>
      <c r="G9" s="39">
        <v>6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8</v>
      </c>
      <c r="B10" s="2" t="s">
        <v>7</v>
      </c>
      <c r="D10" s="39">
        <v>2</v>
      </c>
      <c r="E10" s="2" t="s">
        <v>7</v>
      </c>
      <c r="G10" s="39">
        <v>8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39">
        <v>4</v>
      </c>
      <c r="B11" s="2" t="s">
        <v>8</v>
      </c>
      <c r="D11" s="39">
        <v>4</v>
      </c>
      <c r="E11" s="2" t="s">
        <v>8</v>
      </c>
      <c r="G11" s="39">
        <v>5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2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12</v>
      </c>
      <c r="B13" s="2" t="s">
        <v>15</v>
      </c>
      <c r="D13" s="39">
        <v>0</v>
      </c>
      <c r="E13" s="2" t="s">
        <v>15</v>
      </c>
      <c r="G13" s="39">
        <v>5</v>
      </c>
      <c r="H13" s="2" t="s">
        <v>15</v>
      </c>
      <c r="J13" s="39">
        <f>SUM(J4:J12)</f>
        <v>10</v>
      </c>
      <c r="K13" s="3" t="s">
        <v>35</v>
      </c>
    </row>
    <row r="14" spans="1:11" ht="12.4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1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F17" s="2"/>
      <c r="G17" s="39">
        <v>0</v>
      </c>
      <c r="H17" s="2" t="s">
        <v>187</v>
      </c>
      <c r="J17" s="74">
        <v>0</v>
      </c>
      <c r="K17" s="75" t="s">
        <v>44</v>
      </c>
    </row>
    <row r="18" spans="1:17" ht="12.4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1</v>
      </c>
      <c r="H18" s="2" t="s">
        <v>189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4</v>
      </c>
      <c r="K20" s="75" t="s">
        <v>44</v>
      </c>
    </row>
    <row r="21" spans="1:17" ht="12.4" customHeight="1" x14ac:dyDescent="0.25">
      <c r="A21" s="39">
        <f>SUM(A4:A20)</f>
        <v>68</v>
      </c>
      <c r="B21" s="2" t="s">
        <v>35</v>
      </c>
      <c r="D21" s="39">
        <f>SUM(D4:D20)</f>
        <v>37</v>
      </c>
      <c r="E21" s="2" t="s">
        <v>35</v>
      </c>
      <c r="G21" s="39">
        <f>SUM(G4:G20)</f>
        <v>52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12</v>
      </c>
      <c r="K24" s="85" t="s">
        <v>44</v>
      </c>
    </row>
    <row r="25" spans="1:17" ht="12.4" customHeight="1" x14ac:dyDescent="0.25">
      <c r="A25" s="39">
        <v>2</v>
      </c>
      <c r="B25" s="2" t="s">
        <v>45</v>
      </c>
      <c r="D25" s="39">
        <v>0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0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2</v>
      </c>
      <c r="B27" s="2" t="s">
        <v>30</v>
      </c>
      <c r="D27" s="39">
        <v>0</v>
      </c>
      <c r="E27" s="2" t="s">
        <v>30</v>
      </c>
      <c r="G27" s="39">
        <v>0</v>
      </c>
      <c r="H27" s="16" t="s">
        <v>12</v>
      </c>
      <c r="J27" s="74">
        <v>22</v>
      </c>
      <c r="K27" s="85" t="s">
        <v>44</v>
      </c>
      <c r="Q27" s="3"/>
    </row>
    <row r="28" spans="1:17" ht="12.4" customHeight="1" x14ac:dyDescent="0.25">
      <c r="A28" s="39">
        <v>6</v>
      </c>
      <c r="B28" s="2" t="s">
        <v>135</v>
      </c>
      <c r="D28" s="39">
        <v>0</v>
      </c>
      <c r="E28" s="2" t="s">
        <v>135</v>
      </c>
      <c r="G28" s="39">
        <f>SUM(G25:G27)</f>
        <v>10</v>
      </c>
      <c r="H28" s="2" t="s">
        <v>35</v>
      </c>
      <c r="J28" s="76"/>
      <c r="K28" s="75"/>
    </row>
    <row r="29" spans="1:17" ht="12.4" customHeight="1" x14ac:dyDescent="0.25">
      <c r="A29" s="39">
        <v>4</v>
      </c>
      <c r="B29" s="2" t="s">
        <v>47</v>
      </c>
      <c r="D29" s="39">
        <v>4</v>
      </c>
      <c r="E29" s="2" t="s">
        <v>47</v>
      </c>
      <c r="J29" s="76"/>
      <c r="K29" s="75"/>
    </row>
    <row r="30" spans="1:17" ht="12.4" customHeight="1" thickBot="1" x14ac:dyDescent="0.3">
      <c r="A30" s="39">
        <v>0</v>
      </c>
      <c r="B30" s="16" t="s">
        <v>77</v>
      </c>
      <c r="D30" s="39">
        <v>14</v>
      </c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14</v>
      </c>
      <c r="B31" s="2" t="s">
        <v>35</v>
      </c>
      <c r="D31" s="39">
        <f>SUM(D25:D30)</f>
        <v>18</v>
      </c>
      <c r="E31" s="2" t="s">
        <v>35</v>
      </c>
      <c r="G31" s="39">
        <v>2</v>
      </c>
      <c r="H31" t="s">
        <v>1</v>
      </c>
      <c r="J31" s="87">
        <f>J17+J20+J24+J27</f>
        <v>38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4868329882</v>
      </c>
      <c r="D33" s="2" t="s">
        <v>36</v>
      </c>
      <c r="E33" s="16">
        <v>4868329489</v>
      </c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8</v>
      </c>
      <c r="B36" s="2" t="s">
        <v>52</v>
      </c>
      <c r="D36" s="39">
        <v>12</v>
      </c>
      <c r="E36" t="s">
        <v>44</v>
      </c>
      <c r="G36" s="39">
        <f>SUM(G34:G35)</f>
        <v>13</v>
      </c>
      <c r="H36" s="2" t="s">
        <v>35</v>
      </c>
    </row>
    <row r="37" spans="1:11" ht="12.4" customHeight="1" x14ac:dyDescent="0.25">
      <c r="A37" s="39">
        <v>1</v>
      </c>
      <c r="B37" s="2" t="s">
        <v>2</v>
      </c>
      <c r="C37" s="23"/>
      <c r="D37" s="39">
        <v>8</v>
      </c>
      <c r="E37" s="16" t="s">
        <v>54</v>
      </c>
      <c r="F37" s="1"/>
    </row>
    <row r="38" spans="1:11" ht="12.4" customHeight="1" thickBot="1" x14ac:dyDescent="0.3">
      <c r="A38" s="39">
        <v>8</v>
      </c>
      <c r="B38" s="16" t="s">
        <v>7</v>
      </c>
      <c r="D38" s="39">
        <f>SUM(D36:D37)</f>
        <v>20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17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1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27</v>
      </c>
      <c r="K43" s="2" t="s">
        <v>9</v>
      </c>
    </row>
    <row r="44" spans="1:11" x14ac:dyDescent="0.25">
      <c r="A44" s="26">
        <f>A5+G5+J5+D5</f>
        <v>24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10</v>
      </c>
      <c r="H44" s="2" t="s">
        <v>46</v>
      </c>
      <c r="J44" s="13">
        <f>A10+A30+G10+J10+D10+D30+A38</f>
        <v>40</v>
      </c>
      <c r="K44" s="2" t="s">
        <v>7</v>
      </c>
    </row>
    <row r="45" spans="1:11" x14ac:dyDescent="0.25">
      <c r="A45" s="26">
        <f>A6+G6+J6+D6</f>
        <v>1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2</v>
      </c>
      <c r="H45" s="2" t="s">
        <v>30</v>
      </c>
      <c r="J45" s="13">
        <f>A11+G11+J11+D11</f>
        <v>13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6</v>
      </c>
      <c r="H46" s="2" t="s">
        <v>134</v>
      </c>
      <c r="J46" s="13">
        <f>G34</f>
        <v>8</v>
      </c>
      <c r="K46" s="2" t="s">
        <v>55</v>
      </c>
    </row>
    <row r="47" spans="1:11" x14ac:dyDescent="0.25">
      <c r="A47" s="26">
        <f>A8+G8+J8+D8+D37</f>
        <v>73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62</v>
      </c>
      <c r="K47" s="2" t="s">
        <v>44</v>
      </c>
    </row>
    <row r="48" spans="1:11" x14ac:dyDescent="0.25">
      <c r="A48" s="21">
        <f>A13+G13+D13</f>
        <v>17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6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1</v>
      </c>
      <c r="B58" s="2" t="s">
        <v>14</v>
      </c>
      <c r="F58" s="35">
        <f>G58*15</f>
        <v>15</v>
      </c>
      <c r="G58" s="26">
        <f>A45</f>
        <v>1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1</v>
      </c>
      <c r="B59" s="2" t="s">
        <v>16</v>
      </c>
      <c r="F59" s="35">
        <f t="shared" ref="F59:F62" si="1">G59*15</f>
        <v>255</v>
      </c>
      <c r="G59" s="21">
        <f>A48</f>
        <v>17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130</v>
      </c>
      <c r="G60" s="29">
        <f>J45</f>
        <v>13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1</v>
      </c>
      <c r="B62" s="2" t="s">
        <v>12</v>
      </c>
      <c r="F62" s="35">
        <f t="shared" si="1"/>
        <v>30</v>
      </c>
      <c r="G62" s="21">
        <f>G45</f>
        <v>2</v>
      </c>
      <c r="H62" s="2" t="s">
        <v>30</v>
      </c>
      <c r="J62" s="14">
        <f>IF(MOD((A26),24)=0,(A26)/24,0)+IF(MOD((D26),24)=0,(D26)/24,0)</f>
        <v>0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365</v>
      </c>
      <c r="G63" s="21">
        <f>A47</f>
        <v>73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3" sqref="B33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138</v>
      </c>
      <c r="B1" s="91"/>
      <c r="C1" s="90">
        <f>DATE(2024,1,1)+(Mon!B2-1)*7+2</f>
        <v>45441</v>
      </c>
      <c r="D1" s="90"/>
      <c r="E1" s="90"/>
      <c r="G1" s="63" t="s">
        <v>175</v>
      </c>
      <c r="H1" s="64">
        <f>Mon!C1+49-1</f>
        <v>45487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6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1</v>
      </c>
      <c r="E4" s="2" t="s">
        <v>41</v>
      </c>
      <c r="G4" s="39">
        <v>2</v>
      </c>
      <c r="H4" s="2" t="s">
        <v>41</v>
      </c>
      <c r="J4" s="39">
        <v>5</v>
      </c>
      <c r="K4" s="2" t="s">
        <v>2</v>
      </c>
    </row>
    <row r="5" spans="1:11" ht="12.75" customHeight="1" x14ac:dyDescent="0.25">
      <c r="A5" s="25"/>
      <c r="B5" s="2"/>
      <c r="D5" s="39">
        <v>8</v>
      </c>
      <c r="E5" s="2" t="s">
        <v>42</v>
      </c>
      <c r="G5" s="39">
        <v>6</v>
      </c>
      <c r="H5" s="2" t="s">
        <v>42</v>
      </c>
      <c r="J5" s="39">
        <v>8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2</v>
      </c>
      <c r="E6" s="2" t="s">
        <v>5</v>
      </c>
      <c r="G6" s="39">
        <v>0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5</v>
      </c>
      <c r="E7" s="2" t="s">
        <v>9</v>
      </c>
      <c r="G7" s="39">
        <v>6</v>
      </c>
      <c r="H7" s="16" t="s">
        <v>6</v>
      </c>
      <c r="J7" s="39">
        <v>5</v>
      </c>
      <c r="K7" s="2" t="s">
        <v>55</v>
      </c>
    </row>
    <row r="8" spans="1:11" ht="12.75" customHeight="1" x14ac:dyDescent="0.25">
      <c r="A8" s="24"/>
      <c r="B8" s="2"/>
      <c r="D8" s="39">
        <v>20</v>
      </c>
      <c r="E8" s="16" t="s">
        <v>7</v>
      </c>
      <c r="G8" s="39">
        <f>SUM(G4:G7)</f>
        <v>14</v>
      </c>
      <c r="H8" s="22" t="s">
        <v>35</v>
      </c>
      <c r="J8" s="39">
        <v>5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36</v>
      </c>
      <c r="E9" s="22" t="s">
        <v>35</v>
      </c>
      <c r="J9" s="39">
        <v>5</v>
      </c>
      <c r="K9" s="2" t="s">
        <v>77</v>
      </c>
    </row>
    <row r="10" spans="1:11" ht="12.75" customHeight="1" x14ac:dyDescent="0.25">
      <c r="A10" s="39">
        <v>2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8</v>
      </c>
      <c r="H12" s="2" t="s">
        <v>41</v>
      </c>
      <c r="J12" s="39">
        <f>SUM(J2:J11)</f>
        <v>40</v>
      </c>
      <c r="K12" s="22" t="s">
        <v>35</v>
      </c>
    </row>
    <row r="13" spans="1:11" ht="12.75" customHeight="1" x14ac:dyDescent="0.25">
      <c r="A13" s="39">
        <v>0</v>
      </c>
      <c r="B13" s="28" t="s">
        <v>1</v>
      </c>
      <c r="D13" s="39">
        <v>10</v>
      </c>
      <c r="E13" s="2" t="s">
        <v>42</v>
      </c>
      <c r="G13" s="39">
        <v>10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2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10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187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10</v>
      </c>
      <c r="E17" s="16" t="s">
        <v>7</v>
      </c>
      <c r="F17" s="2"/>
      <c r="G17" s="39">
        <v>0</v>
      </c>
      <c r="H17" s="16" t="s">
        <v>189</v>
      </c>
      <c r="J17" s="39">
        <v>1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36</v>
      </c>
      <c r="E18" s="22" t="s">
        <v>35</v>
      </c>
      <c r="G18" s="39">
        <f>SUM(G12:G17)</f>
        <v>35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4</v>
      </c>
      <c r="K19" s="2" t="s">
        <v>47</v>
      </c>
    </row>
    <row r="20" spans="1:11" ht="12.75" customHeight="1" x14ac:dyDescent="0.25">
      <c r="E20" s="2"/>
      <c r="J20" s="39">
        <v>10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21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10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0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0</v>
      </c>
      <c r="H25" s="2" t="s">
        <v>44</v>
      </c>
      <c r="J25" s="39">
        <v>3</v>
      </c>
      <c r="K25" s="2" t="s">
        <v>44</v>
      </c>
    </row>
    <row r="26" spans="1:11" ht="12.75" customHeight="1" x14ac:dyDescent="0.25">
      <c r="A26" s="39">
        <v>0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1</v>
      </c>
      <c r="B27" s="22" t="s">
        <v>35</v>
      </c>
      <c r="D27" s="39">
        <v>0</v>
      </c>
      <c r="E27" s="2" t="s">
        <v>187</v>
      </c>
      <c r="G27" s="39">
        <f>SUM(G25:G26)</f>
        <v>0</v>
      </c>
      <c r="H27" s="22" t="s">
        <v>35</v>
      </c>
      <c r="J27" s="39">
        <f>SUM(J24:J26)</f>
        <v>4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19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1</v>
      </c>
      <c r="H30" s="28" t="s">
        <v>44</v>
      </c>
      <c r="J30" s="39">
        <v>1</v>
      </c>
      <c r="K30" s="2" t="s">
        <v>55</v>
      </c>
    </row>
    <row r="31" spans="1:11" ht="12.75" customHeight="1" thickBot="1" x14ac:dyDescent="0.3">
      <c r="A31" s="39">
        <v>7</v>
      </c>
      <c r="B31" s="16" t="s">
        <v>193</v>
      </c>
      <c r="D31" s="30" t="s">
        <v>113</v>
      </c>
      <c r="E31" s="5"/>
      <c r="J31" s="39">
        <v>2</v>
      </c>
      <c r="K31" s="2" t="s">
        <v>44</v>
      </c>
    </row>
    <row r="32" spans="1:11" ht="12.75" customHeight="1" thickBot="1" x14ac:dyDescent="0.3">
      <c r="A32" s="39">
        <f>SUM(A30:A31)</f>
        <v>9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0</v>
      </c>
      <c r="E33" s="2" t="s">
        <v>125</v>
      </c>
      <c r="G33" s="39">
        <v>0</v>
      </c>
      <c r="H33" s="28" t="s">
        <v>1</v>
      </c>
      <c r="J33" s="39">
        <f>SUM(J30:J32)</f>
        <v>3</v>
      </c>
      <c r="K33" s="2" t="s">
        <v>35</v>
      </c>
    </row>
    <row r="34" spans="1:11" ht="12.75" customHeight="1" x14ac:dyDescent="0.25">
      <c r="D34" s="39">
        <v>0</v>
      </c>
      <c r="E34" s="16" t="s">
        <v>33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1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12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18</v>
      </c>
      <c r="K42" s="2" t="s">
        <v>9</v>
      </c>
    </row>
    <row r="43" spans="1:11" x14ac:dyDescent="0.25">
      <c r="A43" s="26">
        <f>D5+D13+G5+G13+J3+J16+J16</f>
        <v>52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45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13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14</v>
      </c>
      <c r="K45" s="2" t="s">
        <v>55</v>
      </c>
    </row>
    <row r="46" spans="1:11" x14ac:dyDescent="0.25">
      <c r="A46" s="26">
        <f>D15+D26+G7+G15+J5+J18+J18</f>
        <v>39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24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5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20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2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195</v>
      </c>
      <c r="G60" s="26">
        <f>A45</f>
        <v>13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195</v>
      </c>
      <c r="G62" s="21">
        <f>A46</f>
        <v>39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28" sqref="H28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138</v>
      </c>
      <c r="B1" s="91"/>
      <c r="C1" s="90">
        <f>DATE(2024,1,1)+(Mon!B2-1)*7+3</f>
        <v>45442</v>
      </c>
      <c r="D1" s="90"/>
      <c r="E1" s="90"/>
      <c r="F1" s="1"/>
      <c r="G1" s="63" t="s">
        <v>175</v>
      </c>
      <c r="H1" s="64">
        <f>Mon!C1+49-1</f>
        <v>45487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1</v>
      </c>
      <c r="B4" s="2" t="s">
        <v>41</v>
      </c>
      <c r="D4" s="39">
        <v>0</v>
      </c>
      <c r="E4" s="2" t="s">
        <v>3</v>
      </c>
      <c r="G4" s="39">
        <v>0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0</v>
      </c>
      <c r="B5" s="2" t="s">
        <v>42</v>
      </c>
      <c r="D5" s="39">
        <v>6</v>
      </c>
      <c r="E5" s="2" t="s">
        <v>40</v>
      </c>
      <c r="G5" s="39">
        <v>0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0</v>
      </c>
      <c r="B7" s="2" t="s">
        <v>5</v>
      </c>
      <c r="D7" s="39">
        <v>1</v>
      </c>
      <c r="E7" s="2" t="s">
        <v>5</v>
      </c>
      <c r="G7" s="39">
        <v>4</v>
      </c>
      <c r="H7" s="2" t="s">
        <v>135</v>
      </c>
      <c r="J7" s="39">
        <v>1</v>
      </c>
      <c r="K7" s="2" t="s">
        <v>21</v>
      </c>
    </row>
    <row r="8" spans="1:11" x14ac:dyDescent="0.25">
      <c r="A8" s="39">
        <v>20</v>
      </c>
      <c r="B8" s="2" t="s">
        <v>6</v>
      </c>
      <c r="D8" s="39">
        <v>4</v>
      </c>
      <c r="E8" s="2" t="s">
        <v>9</v>
      </c>
      <c r="G8" s="39">
        <v>12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5</v>
      </c>
      <c r="B9" s="2" t="s">
        <v>9</v>
      </c>
      <c r="D9" s="39">
        <v>10</v>
      </c>
      <c r="E9" s="2" t="s">
        <v>7</v>
      </c>
      <c r="G9" s="39">
        <v>5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21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21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4868379306</v>
      </c>
      <c r="J12" s="39">
        <v>4</v>
      </c>
      <c r="K12" s="2" t="s">
        <v>26</v>
      </c>
    </row>
    <row r="13" spans="1:11" x14ac:dyDescent="0.25">
      <c r="A13" s="39">
        <v>2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177</v>
      </c>
      <c r="H14" s="17"/>
      <c r="J14" s="39">
        <f>SUM(J4:J13)</f>
        <v>25</v>
      </c>
      <c r="K14" s="22" t="s">
        <v>35</v>
      </c>
    </row>
    <row r="15" spans="1:11" x14ac:dyDescent="0.25">
      <c r="A15" s="39">
        <v>1</v>
      </c>
      <c r="B15" s="2" t="s">
        <v>16</v>
      </c>
      <c r="F15" s="3"/>
      <c r="G15" s="39">
        <v>16</v>
      </c>
      <c r="H15" s="2" t="s">
        <v>29</v>
      </c>
      <c r="K15" s="2"/>
    </row>
    <row r="16" spans="1:11" x14ac:dyDescent="0.25">
      <c r="A16" s="39">
        <v>0</v>
      </c>
      <c r="B16" s="2" t="s">
        <v>188</v>
      </c>
      <c r="G16" s="39">
        <v>0</v>
      </c>
      <c r="H16" s="2" t="s">
        <v>30</v>
      </c>
      <c r="J16" s="2" t="s">
        <v>36</v>
      </c>
      <c r="K16" s="16">
        <v>8490</v>
      </c>
    </row>
    <row r="17" spans="1:9" x14ac:dyDescent="0.25">
      <c r="A17" s="39">
        <v>0</v>
      </c>
      <c r="B17" s="2" t="s">
        <v>187</v>
      </c>
      <c r="G17" s="39">
        <v>0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16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53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3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10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1" t="s">
        <v>138</v>
      </c>
      <c r="B35" s="91"/>
      <c r="C35" s="90">
        <f>C1</f>
        <v>45442</v>
      </c>
      <c r="D35" s="90"/>
      <c r="E35" s="90"/>
      <c r="G35" s="63" t="s">
        <v>175</v>
      </c>
      <c r="H35" s="64">
        <f>H1</f>
        <v>45487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1</v>
      </c>
      <c r="B38" s="2" t="s">
        <v>41</v>
      </c>
      <c r="D38" s="39">
        <v>3</v>
      </c>
      <c r="E38" s="2" t="s">
        <v>32</v>
      </c>
      <c r="G38" s="39">
        <v>0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5</v>
      </c>
      <c r="B39" s="2" t="s">
        <v>42</v>
      </c>
      <c r="D39" s="39">
        <v>24</v>
      </c>
      <c r="E39" s="2" t="s">
        <v>31</v>
      </c>
      <c r="G39" s="39">
        <v>12</v>
      </c>
      <c r="H39" s="2" t="s">
        <v>20</v>
      </c>
      <c r="J39" s="39">
        <v>20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3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6</v>
      </c>
      <c r="B41" s="2" t="s">
        <v>5</v>
      </c>
      <c r="D41" s="39">
        <v>10</v>
      </c>
      <c r="E41" s="2" t="s">
        <v>135</v>
      </c>
      <c r="G41" s="39">
        <v>0</v>
      </c>
      <c r="H41" s="2" t="s">
        <v>21</v>
      </c>
      <c r="J41" s="39">
        <v>2</v>
      </c>
      <c r="K41" s="2" t="s">
        <v>21</v>
      </c>
    </row>
    <row r="42" spans="1:11" x14ac:dyDescent="0.25">
      <c r="A42" s="39">
        <v>8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2</v>
      </c>
      <c r="K42" s="2" t="s">
        <v>23</v>
      </c>
    </row>
    <row r="43" spans="1:11" x14ac:dyDescent="0.25">
      <c r="A43" s="39">
        <v>6</v>
      </c>
      <c r="B43" s="2" t="s">
        <v>9</v>
      </c>
      <c r="D43" s="39">
        <v>8</v>
      </c>
      <c r="E43" s="16" t="s">
        <v>9</v>
      </c>
      <c r="G43" s="39">
        <v>12</v>
      </c>
      <c r="H43" s="2" t="s">
        <v>22</v>
      </c>
      <c r="J43" s="39">
        <v>20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72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>
        <v>4868356428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1</v>
      </c>
      <c r="B47" s="2" t="s">
        <v>15</v>
      </c>
      <c r="G47" s="39">
        <v>6</v>
      </c>
      <c r="H47" s="16" t="s">
        <v>28</v>
      </c>
      <c r="J47" s="39">
        <v>40</v>
      </c>
      <c r="K47" s="16" t="s">
        <v>28</v>
      </c>
    </row>
    <row r="48" spans="1:11" x14ac:dyDescent="0.25">
      <c r="A48" s="39">
        <v>1</v>
      </c>
      <c r="B48" s="2" t="s">
        <v>14</v>
      </c>
      <c r="G48" s="39">
        <f>SUM(G38:G47)</f>
        <v>30</v>
      </c>
      <c r="H48" s="2" t="s">
        <v>35</v>
      </c>
      <c r="J48" s="39">
        <f>SUM(J38:J47)</f>
        <v>95</v>
      </c>
      <c r="K48" s="2" t="s">
        <v>35</v>
      </c>
    </row>
    <row r="49" spans="1:11" ht="15.75" thickBot="1" x14ac:dyDescent="0.3">
      <c r="A49" s="39">
        <v>2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0</v>
      </c>
      <c r="B50" s="2" t="s">
        <v>17</v>
      </c>
      <c r="D50" s="39">
        <v>40</v>
      </c>
      <c r="E50" s="2" t="s">
        <v>29</v>
      </c>
      <c r="G50" s="2" t="s">
        <v>36</v>
      </c>
      <c r="H50" s="16">
        <v>1816</v>
      </c>
      <c r="J50" s="2" t="s">
        <v>36</v>
      </c>
      <c r="K50" s="16">
        <v>7458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40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59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>
        <v>24</v>
      </c>
      <c r="E57" s="2" t="s">
        <v>29</v>
      </c>
      <c r="H57" s="2"/>
    </row>
    <row r="58" spans="1:11" x14ac:dyDescent="0.25">
      <c r="A58" s="4"/>
      <c r="B58" s="4"/>
      <c r="C58" s="4"/>
      <c r="D58" s="39">
        <v>0</v>
      </c>
      <c r="E58" s="2" t="s">
        <v>30</v>
      </c>
      <c r="I58" s="6"/>
    </row>
    <row r="59" spans="1:11" x14ac:dyDescent="0.25">
      <c r="A59" s="4"/>
      <c r="B59" s="4"/>
      <c r="C59" s="4"/>
      <c r="D59" s="39">
        <v>0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24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2</v>
      </c>
      <c r="B72" s="2" t="s">
        <v>41</v>
      </c>
      <c r="C72" s="35">
        <f>D72*15</f>
        <v>210</v>
      </c>
      <c r="D72" s="36">
        <f t="shared" ref="D72:D81" si="0">J4+G38+J38</f>
        <v>14</v>
      </c>
      <c r="E72" s="2" t="s">
        <v>19</v>
      </c>
      <c r="G72" s="13">
        <f>G4+D38</f>
        <v>3</v>
      </c>
      <c r="H72" s="2" t="s">
        <v>45</v>
      </c>
      <c r="J72" s="13">
        <f>A9+D8+G9+A43+D43</f>
        <v>28</v>
      </c>
      <c r="K72" s="2" t="s">
        <v>9</v>
      </c>
    </row>
    <row r="73" spans="1:11" x14ac:dyDescent="0.25">
      <c r="A73" s="26">
        <f>A5+D5+A39</f>
        <v>11</v>
      </c>
      <c r="B73" s="2" t="s">
        <v>42</v>
      </c>
      <c r="C73" s="35">
        <f t="shared" ref="C73:C79" si="1">D73*15</f>
        <v>570</v>
      </c>
      <c r="D73" s="37">
        <f t="shared" si="0"/>
        <v>38</v>
      </c>
      <c r="E73" s="2" t="s">
        <v>20</v>
      </c>
      <c r="G73" s="47">
        <f>G5+G15+D50+D39+D57</f>
        <v>104</v>
      </c>
      <c r="H73" s="2" t="s">
        <v>46</v>
      </c>
      <c r="J73" s="13">
        <f>A10+D9+G8+A44+D42</f>
        <v>94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3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7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21</v>
      </c>
      <c r="G75" s="14">
        <f>G7+D41</f>
        <v>14</v>
      </c>
      <c r="H75" s="2" t="s">
        <v>134</v>
      </c>
      <c r="J75" s="47">
        <f>A28</f>
        <v>10</v>
      </c>
      <c r="K75" s="2" t="s">
        <v>55</v>
      </c>
    </row>
    <row r="76" spans="1:11" x14ac:dyDescent="0.25">
      <c r="A76" s="26">
        <f>A8+A42</f>
        <v>28</v>
      </c>
      <c r="B76" s="2" t="s">
        <v>6</v>
      </c>
      <c r="C76" s="35">
        <f>D76*12</f>
        <v>24</v>
      </c>
      <c r="D76" s="37">
        <f t="shared" si="0"/>
        <v>2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3</v>
      </c>
      <c r="B77" s="2" t="s">
        <v>15</v>
      </c>
      <c r="C77" s="35">
        <f>D77*10</f>
        <v>380</v>
      </c>
      <c r="D77" s="37">
        <f t="shared" si="0"/>
        <v>38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32</v>
      </c>
      <c r="D80" s="37">
        <f t="shared" si="0"/>
        <v>4</v>
      </c>
      <c r="E80" s="2" t="s">
        <v>26</v>
      </c>
    </row>
    <row r="81" spans="1:11" x14ac:dyDescent="0.25">
      <c r="C81" s="35">
        <f>D81*8</f>
        <v>400</v>
      </c>
      <c r="D81" s="37">
        <f t="shared" si="0"/>
        <v>50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1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3</v>
      </c>
      <c r="B88" s="2" t="s">
        <v>16</v>
      </c>
      <c r="F88" s="35">
        <f t="shared" ref="F88:F90" si="2">G88*15</f>
        <v>45</v>
      </c>
      <c r="G88" s="21">
        <f>A77</f>
        <v>3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1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105</v>
      </c>
      <c r="G90" s="26">
        <f>A75</f>
        <v>7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45</v>
      </c>
      <c r="G91" s="21">
        <f>G74</f>
        <v>3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140</v>
      </c>
      <c r="G92" s="21">
        <f>A76</f>
        <v>28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112</v>
      </c>
      <c r="G93" s="21">
        <f>G75</f>
        <v>14</v>
      </c>
      <c r="H93" s="2" t="s">
        <v>135</v>
      </c>
      <c r="J93" s="14">
        <f>IF(MOD((A10),24)=0,(A10)/24,0)+IF(MOD((G8),24)=0,(G8)/24,0)+IF(MOD((A44),24)=0,(A44)/24,0)+IF(MOD((D42),24)=0,(D42)/24,0)</f>
        <v>3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N20" sqref="N20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138</v>
      </c>
      <c r="B1" s="91"/>
      <c r="C1" s="90">
        <f>DATE(2024,1,1)+(Mon!B2-1)*7+4</f>
        <v>45443</v>
      </c>
      <c r="D1" s="90"/>
      <c r="E1" s="90"/>
      <c r="G1" s="63" t="s">
        <v>175</v>
      </c>
      <c r="H1" s="64">
        <f>Mon!C1+49-1</f>
        <v>45487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1</v>
      </c>
      <c r="B4" s="2" t="s">
        <v>41</v>
      </c>
      <c r="D4" s="39">
        <v>4</v>
      </c>
      <c r="E4" s="2" t="s">
        <v>41</v>
      </c>
      <c r="G4" s="39">
        <v>1</v>
      </c>
      <c r="H4" s="2" t="s">
        <v>41</v>
      </c>
      <c r="J4" s="39">
        <v>4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4</v>
      </c>
      <c r="B5" s="2" t="s">
        <v>42</v>
      </c>
      <c r="D5" s="39">
        <v>6</v>
      </c>
      <c r="E5" s="2" t="s">
        <v>42</v>
      </c>
      <c r="G5" s="39">
        <v>4</v>
      </c>
      <c r="H5" s="2" t="s">
        <v>42</v>
      </c>
      <c r="J5" s="39">
        <v>8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2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10</v>
      </c>
      <c r="B7" s="2" t="s">
        <v>5</v>
      </c>
      <c r="D7" s="39">
        <v>0</v>
      </c>
      <c r="E7" s="2" t="s">
        <v>5</v>
      </c>
      <c r="G7" s="39">
        <v>2</v>
      </c>
      <c r="H7" s="2" t="s">
        <v>5</v>
      </c>
      <c r="J7" s="39">
        <v>2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0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6</v>
      </c>
      <c r="B9" s="2" t="s">
        <v>9</v>
      </c>
      <c r="D9" s="39">
        <v>6</v>
      </c>
      <c r="E9" s="2" t="s">
        <v>9</v>
      </c>
      <c r="G9" s="39">
        <v>7</v>
      </c>
      <c r="H9" s="2" t="s">
        <v>9</v>
      </c>
      <c r="J9" s="39">
        <v>2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6</v>
      </c>
      <c r="B10" s="2" t="s">
        <v>7</v>
      </c>
      <c r="D10" s="39">
        <v>4</v>
      </c>
      <c r="E10" s="2" t="s">
        <v>7</v>
      </c>
      <c r="G10" s="39">
        <v>6</v>
      </c>
      <c r="H10" s="2" t="s">
        <v>7</v>
      </c>
      <c r="J10" s="39">
        <v>0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6</v>
      </c>
      <c r="B11" s="2" t="s">
        <v>8</v>
      </c>
      <c r="D11" s="39">
        <v>4</v>
      </c>
      <c r="E11" s="2" t="s">
        <v>8</v>
      </c>
      <c r="G11" s="39">
        <v>3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4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10</v>
      </c>
      <c r="B13" s="2" t="s">
        <v>15</v>
      </c>
      <c r="D13" s="39">
        <v>0</v>
      </c>
      <c r="E13" s="2" t="s">
        <v>15</v>
      </c>
      <c r="G13" s="39">
        <v>4</v>
      </c>
      <c r="H13" s="2" t="s">
        <v>15</v>
      </c>
      <c r="J13" s="39">
        <f>SUM(J4:J12)</f>
        <v>18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4" ht="12.75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G17" s="39">
        <v>0</v>
      </c>
      <c r="H17" s="2" t="s">
        <v>187</v>
      </c>
      <c r="J17" s="74">
        <v>5</v>
      </c>
      <c r="K17" s="75" t="s">
        <v>44</v>
      </c>
    </row>
    <row r="18" spans="1:14" ht="12.75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10</v>
      </c>
      <c r="K20" s="75" t="s">
        <v>44</v>
      </c>
    </row>
    <row r="21" spans="1:14" ht="12.75" customHeight="1" x14ac:dyDescent="0.25">
      <c r="A21" s="39">
        <f>SUM(A4:A20)</f>
        <v>90</v>
      </c>
      <c r="B21" s="22" t="s">
        <v>35</v>
      </c>
      <c r="D21" s="39">
        <f>SUM(D4:D20)</f>
        <v>44</v>
      </c>
      <c r="E21" s="22" t="s">
        <v>35</v>
      </c>
      <c r="G21" s="39">
        <f>SUM(G4:G20)</f>
        <v>69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>
        <v>4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2</v>
      </c>
      <c r="E24" s="2" t="s">
        <v>45</v>
      </c>
      <c r="G24" s="39">
        <v>5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24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1</v>
      </c>
      <c r="B26" s="2" t="s">
        <v>30</v>
      </c>
      <c r="D26" s="39">
        <v>1</v>
      </c>
      <c r="E26" s="2" t="s">
        <v>30</v>
      </c>
      <c r="G26" s="39">
        <v>0</v>
      </c>
      <c r="H26" s="16" t="s">
        <v>189</v>
      </c>
      <c r="J26" s="74">
        <v>24</v>
      </c>
      <c r="K26" s="85" t="s">
        <v>44</v>
      </c>
    </row>
    <row r="27" spans="1:14" ht="12.75" customHeight="1" x14ac:dyDescent="0.25">
      <c r="A27" s="39">
        <v>2</v>
      </c>
      <c r="B27" s="2" t="s">
        <v>135</v>
      </c>
      <c r="D27" s="39">
        <v>0</v>
      </c>
      <c r="E27" s="2" t="s">
        <v>135</v>
      </c>
      <c r="G27" s="39">
        <f>SUM(G24:G26)</f>
        <v>5</v>
      </c>
      <c r="H27" s="22" t="s">
        <v>35</v>
      </c>
      <c r="J27" s="76"/>
      <c r="K27" s="75"/>
    </row>
    <row r="28" spans="1:14" ht="12.75" customHeight="1" thickBot="1" x14ac:dyDescent="0.3">
      <c r="A28" s="39">
        <v>24</v>
      </c>
      <c r="B28" s="2" t="s">
        <v>7</v>
      </c>
      <c r="D28" s="39">
        <v>18</v>
      </c>
      <c r="E28" s="2" t="s">
        <v>7</v>
      </c>
      <c r="J28" s="77" t="s">
        <v>191</v>
      </c>
      <c r="K28" s="78"/>
    </row>
    <row r="29" spans="1:14" ht="12.75" customHeight="1" x14ac:dyDescent="0.25">
      <c r="A29" s="39">
        <v>8</v>
      </c>
      <c r="B29" s="16" t="s">
        <v>47</v>
      </c>
      <c r="D29" s="39">
        <v>6</v>
      </c>
      <c r="E29" s="16" t="s">
        <v>47</v>
      </c>
      <c r="H29" s="3"/>
      <c r="J29" s="74">
        <v>12</v>
      </c>
      <c r="K29" s="85" t="s">
        <v>44</v>
      </c>
    </row>
    <row r="30" spans="1:14" ht="12.75" customHeight="1" x14ac:dyDescent="0.25">
      <c r="A30" s="39">
        <f>SUM(A24:A29)</f>
        <v>37</v>
      </c>
      <c r="B30" s="22" t="s">
        <v>35</v>
      </c>
      <c r="D30" s="39">
        <f>SUM(D24:D29)</f>
        <v>51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>
        <v>4868403360</v>
      </c>
      <c r="D32" s="2" t="s">
        <v>36</v>
      </c>
      <c r="E32" s="13">
        <v>4868402902</v>
      </c>
      <c r="J32" s="87">
        <f>J17+J20+J23+J26+J29</f>
        <v>55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8</v>
      </c>
      <c r="B35" s="2" t="s">
        <v>52</v>
      </c>
      <c r="D35" s="21">
        <v>8</v>
      </c>
      <c r="E35" t="s">
        <v>1</v>
      </c>
      <c r="G35" s="39">
        <v>5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6</v>
      </c>
      <c r="B37" s="16" t="s">
        <v>7</v>
      </c>
      <c r="C37" s="23"/>
      <c r="D37" s="17" t="s">
        <v>59</v>
      </c>
      <c r="E37" s="5"/>
      <c r="G37" s="39">
        <f>SUM(G35:G36)</f>
        <v>7</v>
      </c>
      <c r="H37" s="22" t="s">
        <v>35</v>
      </c>
    </row>
    <row r="38" spans="1:14" ht="12.75" customHeight="1" x14ac:dyDescent="0.25">
      <c r="A38" s="39">
        <f>SUM(A35:A37)</f>
        <v>14</v>
      </c>
      <c r="B38" s="22" t="s">
        <v>35</v>
      </c>
      <c r="D38" s="21">
        <v>12</v>
      </c>
      <c r="E38" t="s">
        <v>44</v>
      </c>
    </row>
    <row r="39" spans="1:14" ht="12.75" customHeight="1" x14ac:dyDescent="0.25">
      <c r="D39" s="29">
        <v>8</v>
      </c>
      <c r="E39" s="16" t="s">
        <v>54</v>
      </c>
    </row>
    <row r="40" spans="1:14" ht="21" x14ac:dyDescent="0.35">
      <c r="A40" s="19" t="s">
        <v>84</v>
      </c>
      <c r="F40" s="11">
        <f>SUM(D38:D39)</f>
        <v>20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10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4</v>
      </c>
      <c r="H43" s="2" t="s">
        <v>45</v>
      </c>
      <c r="J43" s="13">
        <f>A9+D9+A29+J9+D29+G9+M9</f>
        <v>35</v>
      </c>
      <c r="K43" s="2" t="s">
        <v>9</v>
      </c>
    </row>
    <row r="44" spans="1:14" x14ac:dyDescent="0.25">
      <c r="A44" s="26">
        <f>A5+D5+J5+G5+M5</f>
        <v>22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29</v>
      </c>
      <c r="H44" s="2" t="s">
        <v>46</v>
      </c>
      <c r="J44" s="13">
        <f>A37+A10+A28+D10+J10+G10+M10+D28</f>
        <v>64</v>
      </c>
      <c r="K44" s="2" t="s">
        <v>7</v>
      </c>
    </row>
    <row r="45" spans="1:14" x14ac:dyDescent="0.25">
      <c r="A45" s="26">
        <f>A6+D6+J6+G6+M6</f>
        <v>3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2</v>
      </c>
      <c r="H45" s="2" t="s">
        <v>30</v>
      </c>
      <c r="J45" s="13">
        <f>A11+D11+J11+G11+M11</f>
        <v>13</v>
      </c>
      <c r="K45" s="2" t="s">
        <v>8</v>
      </c>
    </row>
    <row r="46" spans="1:14" x14ac:dyDescent="0.25">
      <c r="A46" s="26">
        <f>A7+D7+J7+G7+M7</f>
        <v>14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2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108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74</v>
      </c>
      <c r="K47" s="2" t="s">
        <v>44</v>
      </c>
    </row>
    <row r="48" spans="1:14" x14ac:dyDescent="0.25">
      <c r="A48" s="26">
        <f>A13+D13+G13</f>
        <v>14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10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1</v>
      </c>
      <c r="B58" s="2" t="s">
        <v>14</v>
      </c>
      <c r="F58" s="35">
        <f>G58*15</f>
        <v>45</v>
      </c>
      <c r="G58" s="26">
        <f>A45</f>
        <v>3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1</v>
      </c>
      <c r="B59" s="2" t="s">
        <v>16</v>
      </c>
      <c r="F59" s="35">
        <f t="shared" ref="F59:F61" si="1">G59*15</f>
        <v>210</v>
      </c>
      <c r="G59" s="21">
        <f>A48</f>
        <v>14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130</v>
      </c>
      <c r="G60" s="29">
        <f>J45</f>
        <v>13</v>
      </c>
      <c r="H60" s="2" t="s">
        <v>8</v>
      </c>
      <c r="J60" s="13">
        <f>IF(MOD((A8),20)=0,(A8)/20,0)+IF(MOD((D8),20)=0,(D8)/20,0)+IF(MOD((G8),20)=0,(G8)/20,0)</f>
        <v>5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210</v>
      </c>
      <c r="G61" s="26">
        <f>A46</f>
        <v>14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30</v>
      </c>
      <c r="G62" s="21">
        <f>G45</f>
        <v>2</v>
      </c>
      <c r="H62" s="2" t="s">
        <v>30</v>
      </c>
      <c r="J62" s="14">
        <f>IF(MOD((A25),24)=0,(A25)/24,0)+IF(MOD((D25),24)=0,(D25)/24,0)</f>
        <v>1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540</v>
      </c>
      <c r="G63" s="21">
        <f>A47</f>
        <v>108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16</v>
      </c>
      <c r="G64" s="21">
        <f>G46</f>
        <v>2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F14" sqref="F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142</v>
      </c>
      <c r="B1" s="91"/>
      <c r="C1" s="45">
        <f>Mon!B2+1</f>
        <v>23</v>
      </c>
      <c r="D1" s="46"/>
      <c r="E1" s="46"/>
      <c r="F1" s="63" t="s">
        <v>175</v>
      </c>
      <c r="G1" s="64">
        <f>Mon!C1+49-1</f>
        <v>45487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55</v>
      </c>
      <c r="D5" s="42"/>
      <c r="E5" s="35">
        <f>F5/48</f>
        <v>0</v>
      </c>
      <c r="F5" s="39">
        <v>0</v>
      </c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3</v>
      </c>
      <c r="J6" s="39">
        <v>144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>
        <v>0</v>
      </c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>
        <v>0</v>
      </c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>
        <v>0</v>
      </c>
      <c r="G9" s="2" t="s">
        <v>77</v>
      </c>
      <c r="I9" s="35">
        <f t="shared" si="2"/>
        <v>2</v>
      </c>
      <c r="J9" s="39">
        <v>96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6</v>
      </c>
      <c r="B10" s="39">
        <v>288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>
        <v>0</v>
      </c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>
        <v>0</v>
      </c>
      <c r="G11" s="16" t="s">
        <v>0</v>
      </c>
      <c r="I11" s="35">
        <f t="shared" si="2"/>
        <v>0</v>
      </c>
      <c r="J11" s="39">
        <v>0</v>
      </c>
      <c r="K11" s="16" t="s">
        <v>0</v>
      </c>
      <c r="M11" s="42"/>
      <c r="N11" s="2"/>
    </row>
    <row r="12" spans="1:14" ht="12.75" customHeight="1" x14ac:dyDescent="0.25">
      <c r="A12" s="35">
        <f t="shared" si="0"/>
        <v>23</v>
      </c>
      <c r="B12" s="44">
        <f>SUM(B5:B11)</f>
        <v>1104</v>
      </c>
      <c r="C12" s="22" t="s">
        <v>35</v>
      </c>
      <c r="E12" s="35">
        <f t="shared" si="1"/>
        <v>1.5</v>
      </c>
      <c r="F12" s="44">
        <f>SUM(F5:F11)</f>
        <v>72</v>
      </c>
      <c r="G12" s="22" t="s">
        <v>35</v>
      </c>
      <c r="I12" s="35">
        <f t="shared" si="2"/>
        <v>7</v>
      </c>
      <c r="J12" s="44">
        <f>SUM(J5:J11)</f>
        <v>336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144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648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336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145</v>
      </c>
      <c r="B1" s="91"/>
      <c r="C1" s="45">
        <f>Mon!B2</f>
        <v>22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2100</v>
      </c>
      <c r="P3" s="53">
        <f>O3/125</f>
        <v>16.8</v>
      </c>
      <c r="R3" s="51" t="s">
        <v>149</v>
      </c>
      <c r="S3" s="55">
        <f>12*(D8+J4)</f>
        <v>2136</v>
      </c>
      <c r="T3" s="55">
        <f>15*(A4+D4+G4+J7+J5)+20*D12</f>
        <v>10225</v>
      </c>
      <c r="U3" s="55">
        <f>15*(A5+A9+D5+D9+D10+D11+G5+J6+J8+J10)+20*(A8+D13+G7)</f>
        <v>35565</v>
      </c>
      <c r="V3" s="55">
        <f>15*(A6+J11)</f>
        <v>1740</v>
      </c>
      <c r="W3" s="55">
        <f>15*D6</f>
        <v>0</v>
      </c>
      <c r="X3" s="55">
        <f>15*(A7+D7+G6+J9)</f>
        <v>2430</v>
      </c>
    </row>
    <row r="4" spans="1:24" ht="12.75" customHeight="1" x14ac:dyDescent="0.25">
      <c r="A4" s="31">
        <f>Mon!A70+Tues!A43+Wed!A42+Thurs!A72+Fri!A43+NFLD!A43</f>
        <v>27</v>
      </c>
      <c r="B4" s="2" t="s">
        <v>41</v>
      </c>
      <c r="C4" s="7"/>
      <c r="D4" s="31">
        <f>Mon!D70+Tues!D43+Wed!D42+Thurs!D72+Fri!D43+NFLD!D43</f>
        <v>28</v>
      </c>
      <c r="E4" s="2" t="s">
        <v>19</v>
      </c>
      <c r="F4" s="7"/>
      <c r="G4" s="31">
        <f>Mon!G70+Tues!G43+Wed!G42+Thurs!G72+Fri!G43+NFLD!G43</f>
        <v>15</v>
      </c>
      <c r="H4" s="2" t="s">
        <v>45</v>
      </c>
      <c r="I4" s="7"/>
      <c r="J4" s="31">
        <f>Mon!J70+Tues!J43+Wed!J42+Thurs!J72+Fri!J43+NFLD!J43</f>
        <v>175</v>
      </c>
      <c r="K4" s="2" t="s">
        <v>9</v>
      </c>
      <c r="M4" s="42"/>
      <c r="N4" s="52" t="s">
        <v>7</v>
      </c>
      <c r="O4" s="53">
        <f>J5*10</f>
        <v>4250</v>
      </c>
      <c r="P4" s="53">
        <f>O4/130</f>
        <v>32.692307692307693</v>
      </c>
      <c r="R4" s="51" t="s">
        <v>150</v>
      </c>
      <c r="S4" s="55">
        <f t="shared" ref="S4:X4" si="0">S3/15</f>
        <v>142.4</v>
      </c>
      <c r="T4" s="55">
        <f t="shared" si="0"/>
        <v>681.66666666666663</v>
      </c>
      <c r="U4" s="55">
        <f t="shared" si="0"/>
        <v>2371</v>
      </c>
      <c r="V4" s="55">
        <f t="shared" si="0"/>
        <v>116</v>
      </c>
      <c r="W4" s="55">
        <f t="shared" si="0"/>
        <v>0</v>
      </c>
      <c r="X4" s="55">
        <f t="shared" si="0"/>
        <v>162</v>
      </c>
    </row>
    <row r="5" spans="1:24" ht="12.75" customHeight="1" x14ac:dyDescent="0.25">
      <c r="A5" s="26">
        <f>Mon!A71+Tues!A44+Wed!A43+Thurs!A73+Fri!A44+NFLD!A44</f>
        <v>111</v>
      </c>
      <c r="B5" s="2" t="s">
        <v>42</v>
      </c>
      <c r="C5" s="24"/>
      <c r="D5" s="26">
        <f>Mon!D71+Tues!D44+Wed!D43+Thurs!D73+Fri!D44+NFLD!D44</f>
        <v>83</v>
      </c>
      <c r="E5" s="2" t="s">
        <v>20</v>
      </c>
      <c r="G5" s="26">
        <f>Mon!G71+Tues!G44+Wed!G43+Thurs!G73+Fri!G44+NFLD!G44</f>
        <v>235</v>
      </c>
      <c r="H5" s="2" t="s">
        <v>46</v>
      </c>
      <c r="J5" s="26">
        <f>Mon!J71+Tues!J44+Wed!J43+Thurs!J73+Fri!J44+NFLD!J44</f>
        <v>425</v>
      </c>
      <c r="K5" s="2" t="s">
        <v>7</v>
      </c>
      <c r="M5" s="42"/>
      <c r="N5" s="52" t="s">
        <v>8</v>
      </c>
      <c r="O5" s="53">
        <f>J6*10</f>
        <v>260</v>
      </c>
      <c r="P5" s="53">
        <f t="shared" ref="P5:P25" si="1">O5/130</f>
        <v>2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5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13</v>
      </c>
      <c r="H6" s="2" t="s">
        <v>30</v>
      </c>
      <c r="J6" s="26">
        <f>Mon!J72+Tues!J45+Wed!J44+Thurs!J74+Fri!J45+NFLD!J45</f>
        <v>26</v>
      </c>
      <c r="K6" s="2" t="s">
        <v>8</v>
      </c>
      <c r="M6" s="42"/>
      <c r="N6" s="52" t="s">
        <v>55</v>
      </c>
      <c r="O6" s="53">
        <f>J7*15</f>
        <v>2640</v>
      </c>
      <c r="P6" s="53">
        <f>O6/150</f>
        <v>17.600000000000001</v>
      </c>
    </row>
    <row r="7" spans="1:24" ht="12.75" customHeight="1" x14ac:dyDescent="0.25">
      <c r="A7" s="26">
        <f>Mon!A73+Tues!A46+Wed!A45+Thurs!A75+Fri!A46+NFLD!A46</f>
        <v>38</v>
      </c>
      <c r="B7" s="2" t="s">
        <v>5</v>
      </c>
      <c r="C7" s="24"/>
      <c r="D7" s="26">
        <f>Mon!D73+Tues!D46+Wed!D45+Thurs!D75+Fri!D46+NFLD!D46</f>
        <v>4</v>
      </c>
      <c r="E7" s="2" t="s">
        <v>21</v>
      </c>
      <c r="G7" s="26">
        <f>Mon!G73+Tues!G46+Wed!G45+Thurs!G75+Fri!G46+NFLD!G46</f>
        <v>44</v>
      </c>
      <c r="H7" s="2" t="s">
        <v>134</v>
      </c>
      <c r="J7" s="26">
        <f>Mon!J73+Tues!J46+Wed!J45+Thurs!J75+Fri!J46+NFLD!J46</f>
        <v>176</v>
      </c>
      <c r="K7" s="2" t="s">
        <v>55</v>
      </c>
      <c r="M7" s="42"/>
      <c r="N7" s="52" t="s">
        <v>44</v>
      </c>
      <c r="O7" s="53">
        <f t="shared" ref="O7" si="2">J8*15</f>
        <v>12240</v>
      </c>
      <c r="P7" s="53">
        <f t="shared" ref="P7:P8" si="3">O7/150</f>
        <v>81.599999999999994</v>
      </c>
      <c r="R7" s="12" t="s">
        <v>137</v>
      </c>
      <c r="S7" s="60">
        <f>Mon!B2</f>
        <v>22</v>
      </c>
    </row>
    <row r="8" spans="1:24" ht="12.75" customHeight="1" x14ac:dyDescent="0.25">
      <c r="A8" s="26">
        <f>Mon!A74+Tues!A47+Wed!A46+Thurs!A76+Fri!A47+NFLD!A47</f>
        <v>276</v>
      </c>
      <c r="B8" s="2" t="s">
        <v>6</v>
      </c>
      <c r="C8" s="24"/>
      <c r="D8" s="26">
        <f>Mon!D74+Tues!D47+Wed!D46+Thurs!D76+Fri!D47+NFLD!D47</f>
        <v>3</v>
      </c>
      <c r="E8" s="2" t="s">
        <v>23</v>
      </c>
      <c r="J8" s="26">
        <f>Mon!J74+Tues!J47+Wed!J46+Thurs!J76+Fri!J47+NFLD!J47</f>
        <v>816</v>
      </c>
      <c r="K8" s="2" t="s">
        <v>44</v>
      </c>
      <c r="M8" s="42"/>
      <c r="N8" s="52" t="s">
        <v>2</v>
      </c>
      <c r="O8" s="53">
        <f>J9*15</f>
        <v>1605</v>
      </c>
      <c r="P8" s="53">
        <f t="shared" si="3"/>
        <v>10.7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36</v>
      </c>
      <c r="B9" s="2" t="s">
        <v>15</v>
      </c>
      <c r="C9" s="24"/>
      <c r="D9" s="26">
        <f>Mon!D75+Tues!D48+Wed!D47+Thurs!D77+Fri!D48+NFLD!D48</f>
        <v>96</v>
      </c>
      <c r="E9" s="2" t="s">
        <v>22</v>
      </c>
      <c r="J9" s="26">
        <f>Mon!J75+Tues!J48+Wed!J47+Thurs!J77+Fri!J48+NFLD!J48</f>
        <v>107</v>
      </c>
      <c r="K9" s="2" t="s">
        <v>2</v>
      </c>
      <c r="M9" s="42"/>
      <c r="N9" s="52" t="s">
        <v>153</v>
      </c>
      <c r="O9" s="53">
        <f>7*(J10+J11)+8*(D12+D13+G7)+5*A9</f>
        <v>4999</v>
      </c>
      <c r="P9" s="53">
        <f>O9/140</f>
        <v>35.707142857142856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390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111</v>
      </c>
      <c r="K11" s="2" t="s">
        <v>0</v>
      </c>
      <c r="M11" s="42"/>
      <c r="N11" s="52" t="s">
        <v>42</v>
      </c>
      <c r="O11" s="53">
        <f t="shared" ref="O11:O12" si="4">A5*15</f>
        <v>1665</v>
      </c>
      <c r="P11" s="53">
        <f t="shared" ref="P11:P13" si="5">O11/250</f>
        <v>6.66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8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112</v>
      </c>
      <c r="E13" s="2" t="s">
        <v>28</v>
      </c>
      <c r="M13" s="42"/>
      <c r="N13" s="52" t="s">
        <v>5</v>
      </c>
      <c r="O13" s="53">
        <f>A7*15</f>
        <v>570</v>
      </c>
      <c r="P13" s="53">
        <f t="shared" si="5"/>
        <v>2.2799999999999998</v>
      </c>
      <c r="S13" s="59"/>
    </row>
    <row r="14" spans="1:24" ht="12.75" customHeight="1" x14ac:dyDescent="0.25">
      <c r="A14" s="7"/>
      <c r="N14" s="52" t="s">
        <v>158</v>
      </c>
      <c r="O14" s="53">
        <f>5*A9</f>
        <v>180</v>
      </c>
      <c r="P14" s="53">
        <f>O14/50</f>
        <v>3.6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540</v>
      </c>
      <c r="P15" s="53">
        <f>O15/250</f>
        <v>2.16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225</v>
      </c>
      <c r="P16" s="53">
        <f t="shared" ref="P16:P18" si="6">O16/250</f>
        <v>0.9</v>
      </c>
    </row>
    <row r="17" spans="1:24" ht="12.75" customHeight="1" x14ac:dyDescent="0.25">
      <c r="A17" s="32">
        <f>Mon!A85+Tues!A58+Wed!A57+Thurs!A87+Fri!A58+NFLD!A58</f>
        <v>3</v>
      </c>
      <c r="B17" s="2" t="s">
        <v>14</v>
      </c>
      <c r="D17" s="26">
        <f>A6</f>
        <v>5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3525</v>
      </c>
      <c r="P17" s="53">
        <f t="shared" si="6"/>
        <v>14.1</v>
      </c>
    </row>
    <row r="18" spans="1:24" ht="12.75" customHeight="1" x14ac:dyDescent="0.25">
      <c r="A18" s="26">
        <f>Mon!A86+Tues!A59+Wed!A58+Thurs!A88+Fri!A59+NFLD!A59</f>
        <v>6</v>
      </c>
      <c r="B18" s="2" t="s">
        <v>16</v>
      </c>
      <c r="D18" s="21">
        <f>A9</f>
        <v>36</v>
      </c>
      <c r="E18" s="2" t="s">
        <v>15</v>
      </c>
      <c r="F18" s="24"/>
      <c r="G18" s="14">
        <f>Mon!J86+Tues!J59+Thurs!J88+Fri!J59</f>
        <v>0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Mon!A87+Tues!A60+Wed!A59+Thurs!A89+Fri!A60+NFLD!A60</f>
        <v>0</v>
      </c>
      <c r="B19" s="2" t="s">
        <v>17</v>
      </c>
      <c r="D19" s="29">
        <f>J6</f>
        <v>26</v>
      </c>
      <c r="E19" s="2" t="s">
        <v>8</v>
      </c>
      <c r="F19" s="24"/>
      <c r="G19" s="14">
        <f>Mon!J87+Tues!J60+Thurs!J89+Fri!J60</f>
        <v>10</v>
      </c>
      <c r="H19" s="2" t="s">
        <v>6</v>
      </c>
      <c r="N19" s="52" t="s">
        <v>159</v>
      </c>
      <c r="O19" s="53">
        <f>8*G7</f>
        <v>352</v>
      </c>
      <c r="P19" s="53">
        <f>O19/50</f>
        <v>7.04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38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420</v>
      </c>
      <c r="P20" s="53">
        <f>O20/150</f>
        <v>2.8</v>
      </c>
    </row>
    <row r="21" spans="1:24" ht="12.75" customHeight="1" x14ac:dyDescent="0.25">
      <c r="A21" s="26">
        <f>Mon!A89+Tues!A62+Wed!A61+Thurs!A91+Fri!A62+NFLD!A62</f>
        <v>3</v>
      </c>
      <c r="B21" s="2" t="s">
        <v>12</v>
      </c>
      <c r="D21" s="21">
        <f>G6</f>
        <v>13</v>
      </c>
      <c r="E21" s="2" t="s">
        <v>30</v>
      </c>
      <c r="F21" s="24"/>
      <c r="G21" s="14">
        <f>Mon!J89+Tues!J62+Thurs!J91+Fri!J62</f>
        <v>3</v>
      </c>
      <c r="H21" s="2" t="s">
        <v>46</v>
      </c>
      <c r="N21" s="52" t="s">
        <v>20</v>
      </c>
      <c r="O21" s="53">
        <f t="shared" ref="O21:O23" si="8">15*D5</f>
        <v>1245</v>
      </c>
      <c r="P21" s="53">
        <f t="shared" ref="P21:P23" si="9">O21/150</f>
        <v>8.3000000000000007</v>
      </c>
    </row>
    <row r="22" spans="1:24" ht="12.75" customHeight="1" x14ac:dyDescent="0.25">
      <c r="A22" s="26">
        <f>Mon!A90+Tues!A63+Wed!A62+Thurs!A92+Fri!A63+NFLD!A63</f>
        <v>0</v>
      </c>
      <c r="B22" s="2" t="s">
        <v>13</v>
      </c>
      <c r="D22" s="21">
        <f>A8</f>
        <v>276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44</v>
      </c>
      <c r="E23" s="2" t="s">
        <v>135</v>
      </c>
      <c r="F23" s="24"/>
      <c r="G23" s="14">
        <f>Mon!J91+Tues!J64+Thurs!J93+Fri!J64</f>
        <v>5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960</v>
      </c>
      <c r="P25" s="53">
        <f t="shared" si="1"/>
        <v>7.384615384615385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64</v>
      </c>
      <c r="P28" s="53">
        <f>O28/50</f>
        <v>1.28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896</v>
      </c>
      <c r="P29" s="53">
        <f>O29/50</f>
        <v>17.920000000000002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551</v>
      </c>
      <c r="P32" s="51">
        <f>O32/25-24*(G17+G20+G23)</f>
        <v>-97.960000000000008</v>
      </c>
      <c r="R32" s="92" t="s">
        <v>172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1703</v>
      </c>
      <c r="P33" s="51">
        <f>O33/25-24*(G18+G21+G24)-20*G19</f>
        <v>-203.88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274</v>
      </c>
      <c r="P34" s="51">
        <f t="shared" ref="P34:P36" si="10">O34/25</f>
        <v>10.96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116</v>
      </c>
      <c r="P35" s="51">
        <f t="shared" si="10"/>
        <v>4.6399999999999997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162</v>
      </c>
      <c r="P36" s="51">
        <f t="shared" si="10"/>
        <v>6.48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120</v>
      </c>
      <c r="P37" s="51">
        <f>O37/20</f>
        <v>6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44</v>
      </c>
      <c r="P38" s="51">
        <f>O38/20-13*G22</f>
        <v>2.2000000000000002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2024-05-30T13:28:42Z</cp:lastPrinted>
  <dcterms:created xsi:type="dcterms:W3CDTF">2014-06-06T13:58:10Z</dcterms:created>
  <dcterms:modified xsi:type="dcterms:W3CDTF">2024-05-31T18:32:54Z</dcterms:modified>
</cp:coreProperties>
</file>