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D413A25C-A3E9-400F-BF9A-DB9B0C12FCA7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G57" i="8" l="1"/>
  <c r="J32" i="9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<sst xmlns="http://schemas.openxmlformats.org/spreadsheetml/2006/main" count="1135" uniqueCount="195">
  <si>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</si>
  <si>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</si>
  <si>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</si>
  <si>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</si>
  <si>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</si>
  <si>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</si>
  <si>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</si>
  <si>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</si>
  <si>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</si>
  <si>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</si>
  <si>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</si>
  <si>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</si>
  <si>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</si>
  <si>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</si>
  <si>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</si>
  <si>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</si>
  <si>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</si>
  <si>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</si>
  <si>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</si>
  <si>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</si>
  <si>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</si>
  <si>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</si>
  <si>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</si>
  <si>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</si>
  <si>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</si>
  <si>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</si>
  <si>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</si>
  <si>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</si>
  <si>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</si>
  <si>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</si>
  <si>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</si>
  <si>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</si>
  <si>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</si>
  <si>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</si>
  <si>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</si>
  <si>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</si>
  <si>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</si>
  <si>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</si>
  <si>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</si>
  <si>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</si>
  <si>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</si>
  <si>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</si>
  <si>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</si>
  <si>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</si>
  <si>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</si>
  <si>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</si>
  <si>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</si>
  <si>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</si>
  <si>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</si>
  <si>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</si>
  <si>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</si>
  <si>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</si>
  <si>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</si>
  <si>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</si>
  <si>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</si>
  <si>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</si>
  <si>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</si>
  <si>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</si>
  <si>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</si>
  <si>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</si>
  <si>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</si>
  <si>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</si>
  <si>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</si>
  <si>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</si>
  <si>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</si>
  <si>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</si>
  <si>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</si>
  <si>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</si>
  <si>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</si>
  <si>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</si>
  <si>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</si>
  <si>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</si>
  <si>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</si>
  <si>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</si>
  <si>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</si>
  <si>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</si>
  <si>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</si>
  <si>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</si>
  <si>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</si>
  <si>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</si>
  <si>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</si>
  <si>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</si>
  <si>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</si>
  <si>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</si>
  <si>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</si>
  <si>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</si>
  <si>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</si>
  <si>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</si>
  <si>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</si>
  <si>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</si>
  <si>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</si>
  <si>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</si>
  <si>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</si>
  <si>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</si>
  <si>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</si>
  <si>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</si>
  <si>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</si>
  <si>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</si>
  <si>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</si>
  <si>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</si>
  <si>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</si>
  <si>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</si>
  <si>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</si>
  <si>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</si>
  <si>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</si>
  <si>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</si>
  <si>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</si>
  <si>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</si>
  <si>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</si>
  <si>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</si>
  <si>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</si>
  <si>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</si>
  <si>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</si>
  <si>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</si>
  <si>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</si>
  <si>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</si>
  <si>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</si>
  <si>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</si>
  <si>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</si>
  <si>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</si>
  <si>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</si>
  <si>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</si>
  <si>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</si>
  <si>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</si>
  <si>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</si>
  <si>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</si>
  <si>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</si>
  <si>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</si>
  <si>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</si>
  <si>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</si>
  <si>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</si>
  <si>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</si>
  <si>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</si>
  <si>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</si>
  <si>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</si>
  <si>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</si>
  <si>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</si>
  <si>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</si>
  <si>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</si>
  <si>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</si>
  <si>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</si>
  <si>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</si>
  <si>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</si>
  <si>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</si>
  <si>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</si>
  <si>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</si>
  <si>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</si>
  <si>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</si>
  <si>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</si>
  <si>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</si>
  <si>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</si>
  <si>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</si>
  <si>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</si>
  <si>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</si>
  <si>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</si>
  <si>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</si>
  <si>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</si>
  <si>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</si>
  <si>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</si>
  <si>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</si>
  <si>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</si>
  <si>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</si>
  <si>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</si>
  <si>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</si>
  <si>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</si>
  <si>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</si>
  <si>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</si>
  <si>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</si>
  <si>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</si>
  <si>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</si>
  <si>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</si>
  <si>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</si>
  <si>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</si>
  <si>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</si>
  <si>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</si>
  <si>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</si>
  <si>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</si>
  <si>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</si>
  <si>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</si>
  <si>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</si>
  <si>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</si>
  <si>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</si>
  <si>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</si>
  <si>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</si>
  <si>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</si>
  <si>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</si>
  <si>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</si>
  <si>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</si>
  <si>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</si>
  <si>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</si>
  <si>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</si>
  <si>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</si>
  <si>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>Lg Eyk</t>
  </si>
  <si>
    <t xml:space="preserve">OC Org F.rng </t>
  </si>
  <si>
    <t>MP Om3 12pk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</si>
</sst>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A23" sqref="A23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136</v>
      </c>
      <c r="B1" s="92"/>
      <c r="C1" s="91">
        <f>DATE(2024,1,1)+(B2-1)*7</f>
        <v>45516</v>
      </c>
      <c r="D1" s="92"/>
      <c r="E1" s="92"/>
      <c r="G1" s="63" t="s">
        <v>173</v>
      </c>
      <c r="H1" s="64">
        <f>C1+42-1</f>
        <v>45557</v>
      </c>
      <c r="K1" s="19" t="s">
        <v>37</v>
      </c>
    </row>
    <row r="2" spans="1:11" ht="15.75" x14ac:dyDescent="0.25">
      <c r="A2" s="41" t="s">
        <v>135</v>
      </c>
      <c r="B2" s="50">
        <v>33</v>
      </c>
    </row>
    <row r="4" spans="1:11" ht="15.75" thickBot="1" x14ac:dyDescent="0.3">
      <c r="A4" s="17" t="s">
        <v>88</v>
      </c>
      <c r="B4" s="17"/>
      <c r="D4" s="20" t="s">
        <v>47</v>
      </c>
      <c r="E4" s="5"/>
      <c r="G4" s="20" t="s">
        <v>48</v>
      </c>
      <c r="H4" s="5"/>
    </row>
    <row r="5" spans="1:11" x14ac:dyDescent="0.25">
      <c r="A5" s="39">
        <v>1</v>
      </c>
      <c r="B5" s="2" t="s">
        <v>40</v>
      </c>
      <c r="D5" s="39">
        <v>1</v>
      </c>
      <c r="E5" s="2" t="s">
        <v>44</v>
      </c>
      <c r="G5" s="39">
        <v>4</v>
      </c>
      <c r="H5" s="2" t="s">
        <v>18</v>
      </c>
    </row>
    <row r="6" spans="1:11" x14ac:dyDescent="0.25">
      <c r="A6" s="39">
        <v>5</v>
      </c>
      <c r="B6" s="2" t="s">
        <v>41</v>
      </c>
      <c r="D6" s="39">
        <v>10</v>
      </c>
      <c r="E6" s="2" t="s">
        <v>45</v>
      </c>
      <c r="G6" s="39">
        <v>6</v>
      </c>
      <c r="H6" s="2" t="s">
        <v>19</v>
      </c>
    </row>
    <row r="7" spans="1:11" x14ac:dyDescent="0.25">
      <c r="A7" s="39">
        <v>0</v>
      </c>
      <c r="B7" s="2" t="s">
        <v>4</v>
      </c>
      <c r="D7" s="39">
        <v>0</v>
      </c>
      <c r="E7" s="2" t="s">
        <v>29</v>
      </c>
      <c r="G7" s="39">
        <v>0</v>
      </c>
      <c r="H7" s="2" t="s">
        <v>26</v>
      </c>
    </row>
    <row r="8" spans="1:11" x14ac:dyDescent="0.25">
      <c r="A8" s="39">
        <v>1</v>
      </c>
      <c r="B8" s="2" t="s">
        <v>5</v>
      </c>
      <c r="D8" s="39">
        <v>7</v>
      </c>
      <c r="E8" s="2" t="s">
        <v>133</v>
      </c>
      <c r="G8" s="39">
        <v>2</v>
      </c>
      <c r="H8" s="2" t="s">
        <v>20</v>
      </c>
    </row>
    <row r="9" spans="1:11" x14ac:dyDescent="0.25">
      <c r="A9" s="39">
        <v>15</v>
      </c>
      <c r="B9" s="2" t="s">
        <v>6</v>
      </c>
      <c r="D9" s="39">
        <v>6</v>
      </c>
      <c r="E9" s="2" t="s">
        <v>46</v>
      </c>
      <c r="G9" s="39">
        <v>0</v>
      </c>
      <c r="H9" s="2" t="s">
        <v>22</v>
      </c>
    </row>
    <row r="10" spans="1:11" x14ac:dyDescent="0.25">
      <c r="A10" s="39">
        <v>6</v>
      </c>
      <c r="B10" s="2" t="s">
        <v>9</v>
      </c>
      <c r="D10" s="39">
        <v>20</v>
      </c>
      <c r="E10" s="16" t="s">
        <v>7</v>
      </c>
      <c r="G10" s="39">
        <v>8</v>
      </c>
      <c r="H10" s="2" t="s">
        <v>21</v>
      </c>
    </row>
    <row r="11" spans="1:11" x14ac:dyDescent="0.25">
      <c r="A11" s="39">
        <v>0</v>
      </c>
      <c r="B11" s="2" t="s">
        <v>7</v>
      </c>
      <c r="D11" s="39">
        <f>SUM(D5:D10)</f>
        <v>44</v>
      </c>
      <c r="E11" s="2" t="s">
        <v>34</v>
      </c>
      <c r="G11" s="39">
        <v>0</v>
      </c>
      <c r="H11" s="2" t="s">
        <v>23</v>
      </c>
    </row>
    <row r="12" spans="1:11" x14ac:dyDescent="0.25">
      <c r="A12" s="39">
        <v>5</v>
      </c>
      <c r="B12" s="2" t="s">
        <v>8</v>
      </c>
      <c r="G12" s="39">
        <v>0</v>
      </c>
      <c r="H12" s="2" t="s">
        <v>24</v>
      </c>
    </row>
    <row r="13" spans="1:11" x14ac:dyDescent="0.25">
      <c r="A13" s="39">
        <v>0</v>
      </c>
      <c r="B13" s="2" t="s">
        <v>43</v>
      </c>
      <c r="D13" s="2" t="s">
        <v>35</v>
      </c>
      <c r="E13" s="16">
        <v>4869900419</v>
      </c>
      <c r="G13" s="39">
        <v>4</v>
      </c>
      <c r="H13" s="2" t="s">
        <v>25</v>
      </c>
    </row>
    <row r="14" spans="1:11" x14ac:dyDescent="0.25">
      <c r="A14" s="39">
        <v>0</v>
      </c>
      <c r="B14" s="2" t="s">
        <v>14</v>
      </c>
      <c r="G14" s="39">
        <v>6</v>
      </c>
      <c r="H14" s="16" t="s">
        <v>27</v>
      </c>
    </row>
    <row r="15" spans="1:11" ht="15.75" thickBot="1" x14ac:dyDescent="0.3">
      <c r="A15" s="39">
        <v>1</v>
      </c>
      <c r="B15" s="2" t="s">
        <v>13</v>
      </c>
      <c r="D15" s="17" t="s">
        <v>49</v>
      </c>
      <c r="E15" s="17"/>
      <c r="G15" s="39">
        <f>SUM(G5:G14)</f>
        <v>30</v>
      </c>
      <c r="H15" s="2" t="s">
        <v>34</v>
      </c>
    </row>
    <row r="16" spans="1:11" x14ac:dyDescent="0.25">
      <c r="A16" s="39">
        <v>1</v>
      </c>
      <c r="B16" s="2" t="s">
        <v>15</v>
      </c>
      <c r="D16" s="39">
        <v>24</v>
      </c>
      <c r="E16" s="2" t="s">
        <v>28</v>
      </c>
      <c r="F16" s="3"/>
      <c r="H16" s="2"/>
    </row>
    <row r="17" spans="1:9" x14ac:dyDescent="0.25">
      <c r="A17" s="39">
        <v>1</v>
      </c>
      <c r="B17" s="2" t="s">
        <v>186</v>
      </c>
      <c r="D17" s="39">
        <v>1</v>
      </c>
      <c r="E17" s="2" t="s">
        <v>29</v>
      </c>
      <c r="G17" s="2" t="s">
        <v>35</v>
      </c>
      <c r="H17" s="16">
        <v>8532</v>
      </c>
    </row>
    <row r="18" spans="1:9" x14ac:dyDescent="0.25">
      <c r="A18" s="39">
        <v>1</v>
      </c>
      <c r="B18" s="2" t="s">
        <v>185</v>
      </c>
      <c r="D18" s="39">
        <v>1</v>
      </c>
      <c r="E18" s="16" t="s">
        <v>11</v>
      </c>
    </row>
    <row r="19" spans="1:9" x14ac:dyDescent="0.25">
      <c r="A19" s="39">
        <v>1</v>
      </c>
      <c r="B19" s="2" t="s">
        <v>187</v>
      </c>
      <c r="D19" s="39">
        <f>SUM(D16:D18)</f>
        <v>26</v>
      </c>
      <c r="E19" s="2" t="s">
        <v>34</v>
      </c>
      <c r="I19" s="4"/>
    </row>
    <row r="20" spans="1:9" x14ac:dyDescent="0.25">
      <c r="A20" s="39">
        <v>1</v>
      </c>
      <c r="B20" s="2" t="s">
        <v>12</v>
      </c>
      <c r="I20" s="4"/>
    </row>
    <row r="21" spans="1:9" ht="15.75" thickBot="1" x14ac:dyDescent="0.3">
      <c r="A21" s="39">
        <v>0</v>
      </c>
      <c r="B21" s="16" t="s">
        <v>17</v>
      </c>
      <c r="D21" s="69" t="s">
        <v>85</v>
      </c>
      <c r="E21" s="70"/>
      <c r="F21" s="71"/>
      <c r="G21" s="72" t="s">
        <v>50</v>
      </c>
      <c r="H21" s="73"/>
    </row>
    <row r="22" spans="1:9" x14ac:dyDescent="0.25">
      <c r="A22" s="39">
        <f>SUM(A5:A21)</f>
        <v>39</v>
      </c>
      <c r="B22" s="2" t="s">
        <v>34</v>
      </c>
      <c r="D22" s="74">
        <v>0</v>
      </c>
      <c r="E22" t="s">
        <v>1</v>
      </c>
      <c r="F22" s="2"/>
      <c r="G22" s="39">
        <v>4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86</v>
      </c>
      <c r="E24" s="5"/>
      <c r="G24" s="17" t="s">
        <v>95</v>
      </c>
      <c r="H24" s="78"/>
    </row>
    <row r="25" spans="1:9" ht="15.75" thickBot="1" x14ac:dyDescent="0.3">
      <c r="A25" s="20" t="s">
        <v>42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43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39</v>
      </c>
      <c r="C27" s="9"/>
      <c r="D27" s="77" t="s">
        <v>87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188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7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43</v>
      </c>
    </row>
    <row r="33" spans="1:11" x14ac:dyDescent="0.25">
      <c r="A33" s="39">
        <f>SUM(A26:A32)</f>
        <v>0</v>
      </c>
      <c r="B33" s="2" t="s">
        <v>34</v>
      </c>
      <c r="D33" s="81"/>
      <c r="E33" s="82"/>
      <c r="F33" s="82"/>
      <c r="G33" s="82"/>
      <c r="H33" s="83"/>
    </row>
    <row r="34" spans="1:11" ht="21.75" thickBot="1" x14ac:dyDescent="0.4">
      <c r="A34" s="92" t="s">
        <v>136</v>
      </c>
      <c r="B34" s="92"/>
      <c r="C34" s="91">
        <f>C1</f>
        <v>45516</v>
      </c>
      <c r="D34" s="92"/>
      <c r="E34" s="92"/>
      <c r="G34" s="63" t="s">
        <v>173</v>
      </c>
      <c r="H34" s="67">
        <f>H1</f>
        <v>45557</v>
      </c>
      <c r="K34" s="19" t="s">
        <v>36</v>
      </c>
    </row>
    <row r="36" spans="1:11" ht="15.75" thickBot="1" x14ac:dyDescent="0.3">
      <c r="A36" s="17" t="s">
        <v>89</v>
      </c>
      <c r="B36" s="17"/>
      <c r="D36" s="17" t="s">
        <v>90</v>
      </c>
      <c r="E36" s="17"/>
      <c r="G36" s="18" t="s">
        <v>94</v>
      </c>
      <c r="H36" s="5"/>
    </row>
    <row r="37" spans="1:11" x14ac:dyDescent="0.25">
      <c r="A37" s="39">
        <v>2</v>
      </c>
      <c r="B37" s="2" t="s">
        <v>40</v>
      </c>
      <c r="D37" s="39">
        <v>2</v>
      </c>
      <c r="E37" s="2" t="s">
        <v>18</v>
      </c>
      <c r="G37" s="39">
        <v>10</v>
      </c>
      <c r="H37" s="2" t="s">
        <v>18</v>
      </c>
    </row>
    <row r="38" spans="1:11" x14ac:dyDescent="0.25">
      <c r="A38" s="39">
        <v>10</v>
      </c>
      <c r="B38" s="2" t="s">
        <v>41</v>
      </c>
      <c r="D38" s="39">
        <v>12</v>
      </c>
      <c r="E38" s="2" t="s">
        <v>19</v>
      </c>
      <c r="G38" s="39">
        <v>15</v>
      </c>
      <c r="H38" s="2" t="s">
        <v>19</v>
      </c>
    </row>
    <row r="39" spans="1:11" x14ac:dyDescent="0.25">
      <c r="A39" s="39">
        <v>1</v>
      </c>
      <c r="B39" s="2" t="s">
        <v>4</v>
      </c>
      <c r="D39" s="39">
        <v>0</v>
      </c>
      <c r="E39" s="2" t="s">
        <v>26</v>
      </c>
      <c r="G39" s="39">
        <v>0</v>
      </c>
      <c r="H39" s="2" t="s">
        <v>26</v>
      </c>
    </row>
    <row r="40" spans="1:11" x14ac:dyDescent="0.25">
      <c r="A40" s="39">
        <v>1</v>
      </c>
      <c r="B40" s="2" t="s">
        <v>5</v>
      </c>
      <c r="D40" s="39">
        <v>0</v>
      </c>
      <c r="E40" s="2" t="s">
        <v>20</v>
      </c>
      <c r="G40" s="39">
        <v>1</v>
      </c>
      <c r="H40" s="2" t="s">
        <v>20</v>
      </c>
    </row>
    <row r="41" spans="1:11" x14ac:dyDescent="0.25">
      <c r="A41" s="39">
        <v>12</v>
      </c>
      <c r="B41" s="2" t="s">
        <v>6</v>
      </c>
      <c r="D41" s="39">
        <v>0</v>
      </c>
      <c r="E41" s="2" t="s">
        <v>22</v>
      </c>
      <c r="G41" s="39">
        <v>1</v>
      </c>
      <c r="H41" s="2" t="s">
        <v>22</v>
      </c>
    </row>
    <row r="42" spans="1:11" x14ac:dyDescent="0.25">
      <c r="A42" s="39">
        <v>3</v>
      </c>
      <c r="B42" s="2" t="s">
        <v>9</v>
      </c>
      <c r="D42" s="39">
        <v>12</v>
      </c>
      <c r="E42" s="2" t="s">
        <v>21</v>
      </c>
      <c r="G42" s="39">
        <v>15</v>
      </c>
      <c r="H42" s="2" t="s">
        <v>21</v>
      </c>
    </row>
    <row r="43" spans="1:11" x14ac:dyDescent="0.25">
      <c r="A43" s="39">
        <v>24</v>
      </c>
      <c r="B43" s="2" t="s">
        <v>7</v>
      </c>
      <c r="D43" s="39">
        <v>0</v>
      </c>
      <c r="E43" s="2" t="s">
        <v>23</v>
      </c>
      <c r="G43" s="39">
        <v>1</v>
      </c>
      <c r="H43" s="2" t="s">
        <v>23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24</v>
      </c>
      <c r="G44" s="39">
        <v>0</v>
      </c>
      <c r="H44" s="2" t="s">
        <v>24</v>
      </c>
    </row>
    <row r="45" spans="1:11" x14ac:dyDescent="0.25">
      <c r="A45" s="39">
        <v>3</v>
      </c>
      <c r="B45" s="2" t="s">
        <v>43</v>
      </c>
      <c r="D45" s="39">
        <v>0</v>
      </c>
      <c r="E45" s="2" t="s">
        <v>25</v>
      </c>
      <c r="G45" s="39">
        <v>0</v>
      </c>
      <c r="H45" s="2" t="s">
        <v>25</v>
      </c>
    </row>
    <row r="46" spans="1:11" x14ac:dyDescent="0.25">
      <c r="A46" s="39">
        <v>0</v>
      </c>
      <c r="B46" s="2" t="s">
        <v>14</v>
      </c>
      <c r="D46" s="39">
        <v>18</v>
      </c>
      <c r="E46" s="16" t="s">
        <v>27</v>
      </c>
      <c r="G46" s="39">
        <v>30</v>
      </c>
      <c r="H46" s="16" t="s">
        <v>27</v>
      </c>
    </row>
    <row r="47" spans="1:11" x14ac:dyDescent="0.25">
      <c r="A47" s="39">
        <v>3</v>
      </c>
      <c r="B47" s="2" t="s">
        <v>13</v>
      </c>
      <c r="D47" s="39">
        <f>SUM(D37:D46)</f>
        <v>44</v>
      </c>
      <c r="E47" s="2" t="s">
        <v>34</v>
      </c>
      <c r="G47" s="39">
        <f>SUM(G37:G46)</f>
        <v>73</v>
      </c>
      <c r="H47" s="2" t="s">
        <v>34</v>
      </c>
    </row>
    <row r="48" spans="1:11" x14ac:dyDescent="0.25">
      <c r="A48" s="39">
        <v>2</v>
      </c>
      <c r="B48" s="2" t="s">
        <v>15</v>
      </c>
      <c r="E48" s="2"/>
      <c r="H48" s="2"/>
    </row>
    <row r="49" spans="1:9" x14ac:dyDescent="0.25">
      <c r="A49" s="39">
        <v>2</v>
      </c>
      <c r="B49" s="2" t="s">
        <v>186</v>
      </c>
      <c r="D49" s="2" t="s">
        <v>35</v>
      </c>
      <c r="E49" s="16">
        <v>1875</v>
      </c>
      <c r="G49" s="2" t="s">
        <v>35</v>
      </c>
      <c r="H49" s="16">
        <v>7497</v>
      </c>
    </row>
    <row r="50" spans="1:9" x14ac:dyDescent="0.25">
      <c r="A50" s="39">
        <v>0</v>
      </c>
      <c r="B50" s="2" t="s">
        <v>185</v>
      </c>
      <c r="F50" s="2"/>
    </row>
    <row r="51" spans="1:9" x14ac:dyDescent="0.25">
      <c r="A51" s="39">
        <v>0</v>
      </c>
      <c r="B51" s="2" t="s">
        <v>187</v>
      </c>
    </row>
    <row r="52" spans="1:9" ht="15.75" thickBot="1" x14ac:dyDescent="0.3">
      <c r="A52" s="39">
        <v>2</v>
      </c>
      <c r="B52" s="2" t="s">
        <v>12</v>
      </c>
      <c r="D52" s="17" t="s">
        <v>91</v>
      </c>
      <c r="E52" s="17"/>
      <c r="G52" s="17" t="s">
        <v>93</v>
      </c>
      <c r="H52" s="17"/>
    </row>
    <row r="53" spans="1:9" x14ac:dyDescent="0.25">
      <c r="A53" s="39">
        <v>0</v>
      </c>
      <c r="B53" s="16" t="s">
        <v>17</v>
      </c>
      <c r="D53" s="39">
        <v>24</v>
      </c>
      <c r="E53" s="2" t="s">
        <v>28</v>
      </c>
      <c r="G53" s="39">
        <v>1</v>
      </c>
      <c r="H53" s="2" t="s">
        <v>31</v>
      </c>
    </row>
    <row r="54" spans="1:9" x14ac:dyDescent="0.25">
      <c r="A54" s="39">
        <f>SUM(A37:A53)</f>
        <v>65</v>
      </c>
      <c r="B54" s="2" t="s">
        <v>34</v>
      </c>
      <c r="D54" s="39">
        <v>1</v>
      </c>
      <c r="E54" s="2" t="s">
        <v>29</v>
      </c>
      <c r="G54" s="39">
        <v>7</v>
      </c>
      <c r="H54" s="2" t="s">
        <v>30</v>
      </c>
    </row>
    <row r="55" spans="1:9" x14ac:dyDescent="0.25">
      <c r="D55" s="39">
        <v>1</v>
      </c>
      <c r="E55" s="16" t="s">
        <v>11</v>
      </c>
      <c r="G55" s="39">
        <v>0</v>
      </c>
      <c r="H55" s="2" t="s">
        <v>32</v>
      </c>
    </row>
    <row r="56" spans="1:9" x14ac:dyDescent="0.25">
      <c r="B56" s="4"/>
      <c r="D56" s="39">
        <f>SUM(D53:D55)</f>
        <v>26</v>
      </c>
      <c r="E56" s="2" t="s">
        <v>34</v>
      </c>
      <c r="G56" s="39">
        <v>20</v>
      </c>
      <c r="H56" s="2" t="s">
        <v>133</v>
      </c>
    </row>
    <row r="57" spans="1:9" x14ac:dyDescent="0.25">
      <c r="G57" s="39">
        <v>4</v>
      </c>
      <c r="H57" s="2" t="s">
        <v>9</v>
      </c>
    </row>
    <row r="58" spans="1:9" ht="15.75" thickBot="1" x14ac:dyDescent="0.3">
      <c r="D58" s="17" t="s">
        <v>92</v>
      </c>
      <c r="E58" s="17"/>
      <c r="G58" s="39">
        <v>17</v>
      </c>
      <c r="H58" s="16" t="s">
        <v>33</v>
      </c>
    </row>
    <row r="59" spans="1:9" x14ac:dyDescent="0.25">
      <c r="D59" s="39">
        <v>20</v>
      </c>
      <c r="E59" s="2" t="s">
        <v>28</v>
      </c>
      <c r="G59" s="39">
        <f>SUM(G53:G58)</f>
        <v>49</v>
      </c>
      <c r="H59" s="2" t="s">
        <v>34</v>
      </c>
    </row>
    <row r="60" spans="1:9" x14ac:dyDescent="0.25">
      <c r="D60" s="39">
        <v>0</v>
      </c>
      <c r="E60" s="2" t="s">
        <v>29</v>
      </c>
    </row>
    <row r="61" spans="1:9" x14ac:dyDescent="0.25">
      <c r="D61" s="39">
        <v>0</v>
      </c>
      <c r="E61" s="16" t="s">
        <v>11</v>
      </c>
      <c r="G61" s="2" t="s">
        <v>35</v>
      </c>
      <c r="H61" s="16">
        <v>4869862203</v>
      </c>
    </row>
    <row r="62" spans="1:9" x14ac:dyDescent="0.25">
      <c r="D62" s="39">
        <f>SUM(D59:D61)</f>
        <v>20</v>
      </c>
      <c r="E62" s="2" t="s">
        <v>34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83</v>
      </c>
    </row>
    <row r="69" spans="1:11" ht="15.75" thickBot="1" x14ac:dyDescent="0.3">
      <c r="A69" s="30" t="s">
        <v>78</v>
      </c>
      <c r="B69" s="5"/>
      <c r="C69" s="34" t="s">
        <v>134</v>
      </c>
      <c r="D69" s="30" t="s">
        <v>79</v>
      </c>
      <c r="E69" s="5"/>
      <c r="G69" s="30" t="s">
        <v>80</v>
      </c>
      <c r="H69" s="5"/>
      <c r="J69" s="30" t="s">
        <v>81</v>
      </c>
      <c r="K69" s="5"/>
    </row>
    <row r="70" spans="1:11" x14ac:dyDescent="0.25">
      <c r="A70" s="31">
        <f>A5+A26+A37</f>
        <v>3</v>
      </c>
      <c r="B70" s="2" t="s">
        <v>40</v>
      </c>
      <c r="C70" s="35">
        <f>D70*15</f>
        <v>240</v>
      </c>
      <c r="D70" s="15">
        <f t="shared" ref="D70:D79" si="0">G5+D37+G37</f>
        <v>16</v>
      </c>
      <c r="E70" s="2" t="s">
        <v>18</v>
      </c>
      <c r="G70" s="13">
        <f>D5+G53</f>
        <v>2</v>
      </c>
      <c r="H70" s="2" t="s">
        <v>44</v>
      </c>
      <c r="J70" s="13">
        <f>A10+D9+A30+A42+G57</f>
        <v>19</v>
      </c>
      <c r="K70" s="2" t="s">
        <v>9</v>
      </c>
    </row>
    <row r="71" spans="1:11" x14ac:dyDescent="0.25">
      <c r="A71" s="26">
        <f>A6+A27+A38</f>
        <v>15</v>
      </c>
      <c r="B71" s="2" t="s">
        <v>41</v>
      </c>
      <c r="C71" s="35">
        <f t="shared" ref="C71:C77" si="1">D71*15</f>
        <v>495</v>
      </c>
      <c r="D71" s="14">
        <f t="shared" si="0"/>
        <v>33</v>
      </c>
      <c r="E71" s="2" t="s">
        <v>19</v>
      </c>
      <c r="G71" s="14">
        <f>D6+D16+D59+G54+D53</f>
        <v>85</v>
      </c>
      <c r="H71" s="2" t="s">
        <v>45</v>
      </c>
      <c r="J71" s="13">
        <f>A11+D10+A31+A43+G58</f>
        <v>61</v>
      </c>
      <c r="K71" s="2" t="s">
        <v>7</v>
      </c>
    </row>
    <row r="72" spans="1:11" x14ac:dyDescent="0.25">
      <c r="A72" s="26">
        <f>A7+A28+A39</f>
        <v>1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26</v>
      </c>
      <c r="G72" s="14">
        <f>D7+D17+D60+G55+D54</f>
        <v>2</v>
      </c>
      <c r="H72" s="2" t="s">
        <v>29</v>
      </c>
      <c r="J72" s="13">
        <f>A12+A32+A44</f>
        <v>5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45</v>
      </c>
      <c r="D73" s="14">
        <f t="shared" si="0"/>
        <v>3</v>
      </c>
      <c r="E73" s="2" t="s">
        <v>20</v>
      </c>
      <c r="G73" s="14">
        <f>D8+G56</f>
        <v>27</v>
      </c>
      <c r="H73" s="2" t="s">
        <v>133</v>
      </c>
      <c r="J73" s="13"/>
      <c r="K73" s="2" t="s">
        <v>54</v>
      </c>
    </row>
    <row r="74" spans="1:11" x14ac:dyDescent="0.25">
      <c r="A74" s="26">
        <f>A9+A41</f>
        <v>27</v>
      </c>
      <c r="B74" s="2" t="s">
        <v>6</v>
      </c>
      <c r="C74" s="35">
        <f>D74*12</f>
        <v>12</v>
      </c>
      <c r="D74" s="14">
        <f t="shared" si="0"/>
        <v>1</v>
      </c>
      <c r="E74" s="2" t="s">
        <v>22</v>
      </c>
      <c r="J74" s="13">
        <f>A13+G25+A45</f>
        <v>5</v>
      </c>
      <c r="K74" s="2" t="s">
        <v>43</v>
      </c>
    </row>
    <row r="75" spans="1:11" x14ac:dyDescent="0.25">
      <c r="A75" s="21">
        <f>A14+A46</f>
        <v>0</v>
      </c>
      <c r="B75" s="2" t="s">
        <v>14</v>
      </c>
      <c r="C75" s="35">
        <f>D75*10</f>
        <v>350</v>
      </c>
      <c r="D75" s="14">
        <f t="shared" si="0"/>
        <v>35</v>
      </c>
      <c r="E75" s="2" t="s">
        <v>21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23</v>
      </c>
      <c r="J76" s="14">
        <f>D22+D25+G22</f>
        <v>7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24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32</v>
      </c>
      <c r="D78" s="14">
        <f t="shared" si="0"/>
        <v>4</v>
      </c>
      <c r="E78" s="2" t="s">
        <v>25</v>
      </c>
    </row>
    <row r="79" spans="1:11" x14ac:dyDescent="0.25">
      <c r="C79" s="35">
        <f>D79*8</f>
        <v>432</v>
      </c>
      <c r="D79" s="14">
        <f t="shared" si="0"/>
        <v>54</v>
      </c>
      <c r="E79" s="2" t="s">
        <v>27</v>
      </c>
    </row>
    <row r="84" spans="1:11" ht="15.75" thickBot="1" x14ac:dyDescent="0.3">
      <c r="A84" s="30" t="s">
        <v>82</v>
      </c>
      <c r="B84" s="5"/>
      <c r="F84" s="34" t="s">
        <v>134</v>
      </c>
      <c r="G84" s="30" t="s">
        <v>84</v>
      </c>
      <c r="H84" s="5"/>
      <c r="J84" s="5" t="s">
        <v>167</v>
      </c>
      <c r="K84" s="30" t="s">
        <v>166</v>
      </c>
    </row>
    <row r="85" spans="1:11" x14ac:dyDescent="0.25">
      <c r="A85" s="13">
        <f>A15+A47</f>
        <v>4</v>
      </c>
      <c r="B85" s="2" t="s">
        <v>13</v>
      </c>
      <c r="F85" s="35">
        <f>G85*15</f>
        <v>15</v>
      </c>
      <c r="G85" s="26">
        <f>A72</f>
        <v>1</v>
      </c>
      <c r="H85" s="2" t="s">
        <v>4</v>
      </c>
      <c r="J85" s="15">
        <f>IF(MOD((A5),24)=0,(A5)/24,0)+IF(MOD((A37),24)=0,(A37)/24,0)</f>
        <v>0</v>
      </c>
      <c r="K85" t="s">
        <v>40</v>
      </c>
    </row>
    <row r="86" spans="1:11" x14ac:dyDescent="0.25">
      <c r="A86" s="14">
        <f>A16+A48</f>
        <v>3</v>
      </c>
      <c r="B86" s="2" t="s">
        <v>15</v>
      </c>
      <c r="F86" s="35">
        <f t="shared" ref="F86:F89" si="2">G86*15</f>
        <v>0</v>
      </c>
      <c r="G86" s="21">
        <f>A75</f>
        <v>0</v>
      </c>
      <c r="H86" s="2" t="s">
        <v>14</v>
      </c>
      <c r="J86" s="14">
        <f>IF(MOD((A6),24)=0,(A6)/24,0)+IF(MOD((A38),24)=0,(A38)/24,0)</f>
        <v>0</v>
      </c>
      <c r="K86" t="s">
        <v>41</v>
      </c>
    </row>
    <row r="87" spans="1:11" x14ac:dyDescent="0.25">
      <c r="A87" s="14">
        <f>A17+A49</f>
        <v>3</v>
      </c>
      <c r="B87" s="2" t="s">
        <v>16</v>
      </c>
      <c r="F87" s="35">
        <f>G87*10</f>
        <v>50</v>
      </c>
      <c r="G87" s="29">
        <f>J72</f>
        <v>5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1</v>
      </c>
      <c r="B88" s="2" t="s">
        <v>10</v>
      </c>
      <c r="F88" s="35">
        <f t="shared" si="2"/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44</v>
      </c>
    </row>
    <row r="89" spans="1:11" x14ac:dyDescent="0.25">
      <c r="A89" s="14">
        <f>A19+A51+D18+D55+D61</f>
        <v>3</v>
      </c>
      <c r="B89" s="2" t="s">
        <v>11</v>
      </c>
      <c r="F89" s="35">
        <f t="shared" si="2"/>
        <v>30</v>
      </c>
      <c r="G89" s="21">
        <f>G72</f>
        <v>2</v>
      </c>
      <c r="H89" s="2" t="s">
        <v>29</v>
      </c>
      <c r="J89" s="14">
        <f>IF(MOD((D6),24)=0,(D6)/24,0)+IF(MOD((G54),24)=0,(G54)/24,0)</f>
        <v>0</v>
      </c>
      <c r="K89" s="2" t="s">
        <v>45</v>
      </c>
    </row>
    <row r="90" spans="1:11" x14ac:dyDescent="0.25">
      <c r="A90" s="14">
        <f>A20+A52</f>
        <v>3</v>
      </c>
      <c r="B90" s="2" t="s">
        <v>12</v>
      </c>
      <c r="F90" s="35">
        <f>G90*5</f>
        <v>135</v>
      </c>
      <c r="G90" s="21">
        <f>A74</f>
        <v>27</v>
      </c>
      <c r="H90" s="2" t="s">
        <v>53</v>
      </c>
      <c r="J90" s="14">
        <f>IF(MOD((D8),13)=0,(D8)/13,0)+IF(MOD((G56),13)=0,(G56)/13,0)</f>
        <v>0</v>
      </c>
      <c r="K90" s="2" t="s">
        <v>133</v>
      </c>
    </row>
    <row r="91" spans="1:11" x14ac:dyDescent="0.25">
      <c r="A91" s="14">
        <f>A21+A53</f>
        <v>0</v>
      </c>
      <c r="B91" s="2" t="s">
        <v>17</v>
      </c>
      <c r="F91" s="35">
        <f>G91*8</f>
        <v>216</v>
      </c>
      <c r="G91" s="21">
        <f>G73</f>
        <v>27</v>
      </c>
      <c r="H91" s="2" t="s">
        <v>133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F11" sqref="F11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136</v>
      </c>
      <c r="B1" s="92"/>
      <c r="C1" s="91">
        <f>DATE(2024,1,1)+(Mon!B2-1)*7+1</f>
        <v>45517</v>
      </c>
      <c r="D1" s="91"/>
      <c r="E1" s="91"/>
      <c r="G1" s="63" t="s">
        <v>173</v>
      </c>
      <c r="H1" s="64">
        <f>Mon!C1+42-1</f>
        <v>45557</v>
      </c>
    </row>
    <row r="2" spans="1:11" ht="12.4" customHeight="1" x14ac:dyDescent="0.25"/>
    <row r="3" spans="1:11" ht="12.4" customHeight="1" thickBot="1" x14ac:dyDescent="0.3">
      <c r="A3" s="17" t="s">
        <v>97</v>
      </c>
      <c r="B3" s="17"/>
      <c r="D3" s="17" t="s">
        <v>98</v>
      </c>
      <c r="E3" s="17"/>
      <c r="G3" s="17" t="s">
        <v>103</v>
      </c>
      <c r="H3" s="17"/>
      <c r="J3" s="22" t="s">
        <v>100</v>
      </c>
      <c r="K3" s="27"/>
    </row>
    <row r="4" spans="1:11" ht="12.4" customHeight="1" x14ac:dyDescent="0.25">
      <c r="A4" s="39">
        <v>2</v>
      </c>
      <c r="B4" s="2" t="s">
        <v>40</v>
      </c>
      <c r="D4" s="39">
        <v>0</v>
      </c>
      <c r="E4" s="2" t="s">
        <v>40</v>
      </c>
      <c r="G4" s="39">
        <v>0</v>
      </c>
      <c r="H4" s="2" t="s">
        <v>40</v>
      </c>
      <c r="J4" s="39">
        <v>1</v>
      </c>
      <c r="K4" s="2" t="s">
        <v>40</v>
      </c>
    </row>
    <row r="5" spans="1:11" ht="12.4" customHeight="1" x14ac:dyDescent="0.25">
      <c r="A5" s="39">
        <v>12</v>
      </c>
      <c r="B5" s="2" t="s">
        <v>41</v>
      </c>
      <c r="D5" s="39">
        <v>4</v>
      </c>
      <c r="E5" s="2" t="s">
        <v>41</v>
      </c>
      <c r="G5" s="39">
        <v>0</v>
      </c>
      <c r="H5" s="2" t="s">
        <v>41</v>
      </c>
      <c r="J5" s="39">
        <v>0</v>
      </c>
      <c r="K5" s="2" t="s">
        <v>41</v>
      </c>
    </row>
    <row r="6" spans="1:11" ht="12.4" customHeight="1" x14ac:dyDescent="0.25">
      <c r="A6" s="39">
        <v>1</v>
      </c>
      <c r="B6" s="2" t="s">
        <v>4</v>
      </c>
      <c r="D6" s="39">
        <v>1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24</v>
      </c>
      <c r="H8" s="2" t="s">
        <v>6</v>
      </c>
      <c r="J8" s="39">
        <v>5</v>
      </c>
      <c r="K8" s="2" t="s">
        <v>6</v>
      </c>
    </row>
    <row r="9" spans="1:11" ht="12.4" customHeight="1" x14ac:dyDescent="0.25">
      <c r="A9" s="39">
        <v>10</v>
      </c>
      <c r="B9" s="2" t="s">
        <v>9</v>
      </c>
      <c r="D9" s="39">
        <v>2</v>
      </c>
      <c r="E9" s="2" t="s">
        <v>9</v>
      </c>
      <c r="G9" s="39">
        <v>6</v>
      </c>
      <c r="H9" s="2" t="s">
        <v>9</v>
      </c>
      <c r="J9" s="39">
        <v>4</v>
      </c>
      <c r="K9" s="2" t="s">
        <v>9</v>
      </c>
    </row>
    <row r="10" spans="1:11" ht="12.4" customHeight="1" x14ac:dyDescent="0.25">
      <c r="A10" s="39">
        <v>6</v>
      </c>
      <c r="B10" s="2" t="s">
        <v>7</v>
      </c>
      <c r="D10" s="39">
        <v>2</v>
      </c>
      <c r="E10" s="2" t="s">
        <v>7</v>
      </c>
      <c r="G10" s="39">
        <v>7</v>
      </c>
      <c r="H10" s="2" t="s">
        <v>7</v>
      </c>
      <c r="J10" s="39">
        <v>4</v>
      </c>
      <c r="K10" s="2" t="s">
        <v>7</v>
      </c>
    </row>
    <row r="11" spans="1:11" ht="12.4" customHeight="1" x14ac:dyDescent="0.25">
      <c r="A11" s="39">
        <v>0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2</v>
      </c>
      <c r="B12" s="2" t="s">
        <v>43</v>
      </c>
      <c r="D12" s="39">
        <v>0</v>
      </c>
      <c r="E12" s="2" t="s">
        <v>43</v>
      </c>
      <c r="G12" s="39">
        <v>2</v>
      </c>
      <c r="H12" s="2" t="s">
        <v>43</v>
      </c>
      <c r="J12" s="39">
        <v>0</v>
      </c>
      <c r="K12" s="16" t="s">
        <v>43</v>
      </c>
    </row>
    <row r="13" spans="1:11" ht="12.4" customHeight="1" x14ac:dyDescent="0.25">
      <c r="A13" s="39">
        <v>0</v>
      </c>
      <c r="B13" s="2" t="s">
        <v>14</v>
      </c>
      <c r="D13" s="39">
        <v>1</v>
      </c>
      <c r="E13" s="2" t="s">
        <v>14</v>
      </c>
      <c r="G13" s="39">
        <v>0</v>
      </c>
      <c r="H13" s="2" t="s">
        <v>14</v>
      </c>
      <c r="J13" s="39">
        <f>SUM(J4:J12)</f>
        <v>14</v>
      </c>
      <c r="K13" s="3" t="s">
        <v>34</v>
      </c>
    </row>
    <row r="14" spans="1:11" ht="12.4" customHeight="1" x14ac:dyDescent="0.25">
      <c r="A14" s="39">
        <v>1</v>
      </c>
      <c r="B14" s="2" t="s">
        <v>13</v>
      </c>
      <c r="D14" s="39">
        <v>0</v>
      </c>
      <c r="E14" s="2" t="s">
        <v>13</v>
      </c>
      <c r="G14" s="39">
        <v>0</v>
      </c>
      <c r="H14" s="2" t="s">
        <v>13</v>
      </c>
    </row>
    <row r="15" spans="1:11" ht="12.4" customHeight="1" x14ac:dyDescent="0.25">
      <c r="A15" s="39">
        <v>1</v>
      </c>
      <c r="B15" s="2" t="s">
        <v>15</v>
      </c>
      <c r="D15" s="39">
        <v>1</v>
      </c>
      <c r="E15" s="2" t="s">
        <v>15</v>
      </c>
      <c r="G15" s="39">
        <v>1</v>
      </c>
      <c r="H15" s="2" t="s">
        <v>15</v>
      </c>
    </row>
    <row r="16" spans="1:11" ht="12.4" customHeight="1" thickBot="1" x14ac:dyDescent="0.3">
      <c r="A16" s="39">
        <v>1</v>
      </c>
      <c r="B16" s="2" t="s">
        <v>186</v>
      </c>
      <c r="D16" s="39">
        <v>1</v>
      </c>
      <c r="E16" s="2" t="s">
        <v>186</v>
      </c>
      <c r="G16" s="39">
        <v>1</v>
      </c>
      <c r="H16" s="2" t="s">
        <v>186</v>
      </c>
      <c r="J16" s="69" t="s">
        <v>60</v>
      </c>
      <c r="K16" s="73"/>
    </row>
    <row r="17" spans="1:17" ht="12.4" customHeight="1" x14ac:dyDescent="0.25">
      <c r="A17" s="39">
        <v>1</v>
      </c>
      <c r="B17" s="2" t="s">
        <v>185</v>
      </c>
      <c r="D17" s="39">
        <v>0</v>
      </c>
      <c r="E17" s="2" t="s">
        <v>185</v>
      </c>
      <c r="F17" s="2"/>
      <c r="G17" s="39">
        <v>1</v>
      </c>
      <c r="H17" s="2" t="s">
        <v>185</v>
      </c>
      <c r="J17" s="74">
        <v>5</v>
      </c>
      <c r="K17" s="75" t="s">
        <v>43</v>
      </c>
    </row>
    <row r="18" spans="1:17" ht="12.4" customHeight="1" x14ac:dyDescent="0.25">
      <c r="A18" s="39">
        <v>1</v>
      </c>
      <c r="B18" s="2" t="s">
        <v>187</v>
      </c>
      <c r="D18" s="39">
        <v>0</v>
      </c>
      <c r="E18" s="2" t="s">
        <v>187</v>
      </c>
      <c r="G18" s="39">
        <v>0</v>
      </c>
      <c r="H18" s="2" t="s">
        <v>187</v>
      </c>
      <c r="J18" s="76"/>
      <c r="K18" s="75"/>
    </row>
    <row r="19" spans="1:17" ht="12.4" customHeight="1" thickBot="1" x14ac:dyDescent="0.3">
      <c r="A19" s="39">
        <v>1</v>
      </c>
      <c r="B19" s="2" t="s">
        <v>12</v>
      </c>
      <c r="D19" s="39">
        <v>1</v>
      </c>
      <c r="E19" s="2" t="s">
        <v>12</v>
      </c>
      <c r="G19" s="39">
        <v>0</v>
      </c>
      <c r="H19" s="2" t="s">
        <v>12</v>
      </c>
      <c r="J19" s="77" t="s">
        <v>99</v>
      </c>
      <c r="K19" s="78"/>
    </row>
    <row r="20" spans="1:17" ht="12.4" customHeight="1" x14ac:dyDescent="0.25">
      <c r="A20" s="39">
        <v>1</v>
      </c>
      <c r="B20" s="16" t="s">
        <v>17</v>
      </c>
      <c r="D20" s="39">
        <v>1</v>
      </c>
      <c r="E20" s="16" t="s">
        <v>17</v>
      </c>
      <c r="G20" s="39">
        <v>0</v>
      </c>
      <c r="H20" s="16" t="s">
        <v>17</v>
      </c>
      <c r="J20" s="74">
        <v>5</v>
      </c>
      <c r="K20" s="75" t="s">
        <v>43</v>
      </c>
    </row>
    <row r="21" spans="1:17" ht="12.4" customHeight="1" x14ac:dyDescent="0.25">
      <c r="A21" s="39">
        <f>SUM(A4:A20)</f>
        <v>62</v>
      </c>
      <c r="B21" s="2" t="s">
        <v>34</v>
      </c>
      <c r="D21" s="39">
        <f>SUM(D4:D20)</f>
        <v>34</v>
      </c>
      <c r="E21" s="2" t="s">
        <v>34</v>
      </c>
      <c r="G21" s="39">
        <f>SUM(G4:G20)</f>
        <v>42</v>
      </c>
      <c r="H21" s="2" t="s">
        <v>34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107</v>
      </c>
      <c r="K23" s="78"/>
    </row>
    <row r="24" spans="1:17" ht="12.4" customHeight="1" thickBot="1" x14ac:dyDescent="0.3">
      <c r="A24" s="20" t="s">
        <v>57</v>
      </c>
      <c r="B24" s="5"/>
      <c r="D24" s="20" t="s">
        <v>104</v>
      </c>
      <c r="E24" s="5"/>
      <c r="G24" s="17" t="s">
        <v>101</v>
      </c>
      <c r="H24" s="17"/>
      <c r="J24" s="74">
        <v>15</v>
      </c>
      <c r="K24" s="85" t="s">
        <v>43</v>
      </c>
    </row>
    <row r="25" spans="1:17" ht="12.4" customHeight="1" x14ac:dyDescent="0.25">
      <c r="A25" s="39">
        <v>3</v>
      </c>
      <c r="B25" s="2" t="s">
        <v>44</v>
      </c>
      <c r="D25" s="39">
        <v>2</v>
      </c>
      <c r="E25" s="2" t="s">
        <v>44</v>
      </c>
      <c r="G25" s="39">
        <v>10</v>
      </c>
      <c r="H25" s="2" t="s">
        <v>28</v>
      </c>
      <c r="J25" s="76"/>
      <c r="K25" s="75"/>
    </row>
    <row r="26" spans="1:17" ht="12.4" customHeight="1" thickBot="1" x14ac:dyDescent="0.3">
      <c r="A26" s="39">
        <v>0</v>
      </c>
      <c r="B26" s="2" t="s">
        <v>45</v>
      </c>
      <c r="D26" s="39">
        <v>8</v>
      </c>
      <c r="E26" s="2" t="s">
        <v>45</v>
      </c>
      <c r="G26" s="39">
        <v>0</v>
      </c>
      <c r="H26" s="2" t="s">
        <v>29</v>
      </c>
      <c r="J26" s="77" t="s">
        <v>102</v>
      </c>
      <c r="K26" s="84"/>
    </row>
    <row r="27" spans="1:17" ht="12.4" customHeight="1" x14ac:dyDescent="0.25">
      <c r="A27" s="39">
        <v>2</v>
      </c>
      <c r="B27" s="2" t="s">
        <v>29</v>
      </c>
      <c r="D27" s="39">
        <v>1</v>
      </c>
      <c r="E27" s="2" t="s">
        <v>29</v>
      </c>
      <c r="G27" s="39">
        <v>0</v>
      </c>
      <c r="H27" s="16" t="s">
        <v>11</v>
      </c>
      <c r="J27" s="74">
        <v>20</v>
      </c>
      <c r="K27" s="85" t="s">
        <v>43</v>
      </c>
      <c r="Q27" s="3"/>
    </row>
    <row r="28" spans="1:17" ht="12.4" customHeight="1" x14ac:dyDescent="0.25">
      <c r="A28" s="39">
        <v>6</v>
      </c>
      <c r="B28" s="2" t="s">
        <v>133</v>
      </c>
      <c r="D28" s="39">
        <v>8</v>
      </c>
      <c r="E28" s="2" t="s">
        <v>133</v>
      </c>
      <c r="G28" s="39">
        <f>SUM(G25:G27)</f>
        <v>10</v>
      </c>
      <c r="H28" s="2" t="s">
        <v>34</v>
      </c>
      <c r="J28" s="90">
        <v>2</v>
      </c>
      <c r="K28" s="75" t="s">
        <v>191</v>
      </c>
    </row>
    <row r="29" spans="1:17" ht="12.4" customHeight="1" x14ac:dyDescent="0.25">
      <c r="A29" s="39">
        <v>12</v>
      </c>
      <c r="B29" s="2" t="s">
        <v>46</v>
      </c>
      <c r="D29" s="39">
        <v>2</v>
      </c>
      <c r="E29" s="2" t="s">
        <v>46</v>
      </c>
      <c r="J29" s="76"/>
      <c r="K29" s="75"/>
    </row>
    <row r="30" spans="1:17" ht="12.4" customHeight="1" thickBot="1" x14ac:dyDescent="0.3">
      <c r="A30" s="39">
        <v>0</v>
      </c>
      <c r="B30" s="16" t="s">
        <v>76</v>
      </c>
      <c r="D30" s="39">
        <v>10</v>
      </c>
      <c r="E30" s="16" t="s">
        <v>76</v>
      </c>
      <c r="G30" s="17" t="s">
        <v>56</v>
      </c>
      <c r="H30" s="5"/>
      <c r="J30" s="89" t="s">
        <v>184</v>
      </c>
      <c r="K30" s="79"/>
    </row>
    <row r="31" spans="1:17" ht="12.4" customHeight="1" x14ac:dyDescent="0.25">
      <c r="A31" s="39">
        <f>SUM(A25:A30)</f>
        <v>23</v>
      </c>
      <c r="B31" s="2" t="s">
        <v>34</v>
      </c>
      <c r="D31" s="39">
        <f>SUM(D25:D30)</f>
        <v>31</v>
      </c>
      <c r="E31" s="2" t="s">
        <v>34</v>
      </c>
      <c r="G31" s="39">
        <v>2</v>
      </c>
      <c r="H31" t="s">
        <v>1</v>
      </c>
      <c r="J31" s="87">
        <f>J17+J20+J24+J27</f>
        <v>45</v>
      </c>
      <c r="K31" s="88" t="s">
        <v>43</v>
      </c>
    </row>
    <row r="32" spans="1:17" ht="12.4" customHeight="1" x14ac:dyDescent="0.25"/>
    <row r="33" spans="1:11" ht="12.4" customHeight="1" thickBot="1" x14ac:dyDescent="0.3">
      <c r="A33" s="2" t="s">
        <v>35</v>
      </c>
      <c r="B33" s="16">
        <v>4869946328</v>
      </c>
      <c r="D33" s="2" t="s">
        <v>35</v>
      </c>
      <c r="E33" s="16">
        <v>4869950047</v>
      </c>
      <c r="G33" s="17" t="s">
        <v>105</v>
      </c>
      <c r="H33" s="5"/>
    </row>
    <row r="34" spans="1:11" ht="12.4" customHeight="1" x14ac:dyDescent="0.25">
      <c r="G34" s="39">
        <v>4</v>
      </c>
      <c r="H34" t="s">
        <v>54</v>
      </c>
    </row>
    <row r="35" spans="1:11" ht="12.4" customHeight="1" thickBot="1" x14ac:dyDescent="0.3">
      <c r="A35" s="17" t="s">
        <v>96</v>
      </c>
      <c r="B35" s="17"/>
      <c r="D35" s="17" t="s">
        <v>52</v>
      </c>
      <c r="E35" s="5"/>
      <c r="G35" s="39">
        <v>4</v>
      </c>
      <c r="H35" s="16" t="s">
        <v>2</v>
      </c>
    </row>
    <row r="36" spans="1:11" ht="12.4" customHeight="1" x14ac:dyDescent="0.25">
      <c r="A36" s="39">
        <v>8</v>
      </c>
      <c r="B36" s="2" t="s">
        <v>51</v>
      </c>
      <c r="D36" s="39">
        <v>12</v>
      </c>
      <c r="E36" t="s">
        <v>43</v>
      </c>
      <c r="G36" s="39">
        <f>SUM(G34:G35)</f>
        <v>8</v>
      </c>
      <c r="H36" s="2" t="s">
        <v>34</v>
      </c>
    </row>
    <row r="37" spans="1:11" ht="12.4" customHeight="1" x14ac:dyDescent="0.25">
      <c r="A37" s="39">
        <v>1</v>
      </c>
      <c r="B37" s="2" t="s">
        <v>2</v>
      </c>
      <c r="C37" s="23"/>
      <c r="D37" s="39">
        <v>8</v>
      </c>
      <c r="E37" s="16" t="s">
        <v>53</v>
      </c>
      <c r="F37" s="1"/>
    </row>
    <row r="38" spans="1:11" ht="12.4" customHeight="1" thickBot="1" x14ac:dyDescent="0.3">
      <c r="A38" s="39">
        <v>6</v>
      </c>
      <c r="B38" s="16" t="s">
        <v>7</v>
      </c>
      <c r="D38" s="39">
        <f>SUM(D36:D37)</f>
        <v>20</v>
      </c>
      <c r="E38" s="2" t="s">
        <v>34</v>
      </c>
      <c r="G38" s="17" t="s">
        <v>106</v>
      </c>
      <c r="H38" s="5"/>
    </row>
    <row r="39" spans="1:11" x14ac:dyDescent="0.25">
      <c r="A39" s="39">
        <f>SUM(A36:A38)</f>
        <v>15</v>
      </c>
      <c r="B39" s="2" t="s">
        <v>34</v>
      </c>
      <c r="G39" s="39">
        <v>2</v>
      </c>
      <c r="H39" t="s">
        <v>1</v>
      </c>
    </row>
    <row r="40" spans="1:11" ht="21" x14ac:dyDescent="0.35">
      <c r="A40" s="19" t="s">
        <v>83</v>
      </c>
    </row>
    <row r="42" spans="1:11" ht="15.75" thickBot="1" x14ac:dyDescent="0.3">
      <c r="A42" s="30" t="s">
        <v>78</v>
      </c>
      <c r="B42" s="5"/>
      <c r="C42" s="34" t="s">
        <v>134</v>
      </c>
      <c r="D42" s="30" t="s">
        <v>79</v>
      </c>
      <c r="E42" s="5"/>
      <c r="G42" s="30" t="s">
        <v>80</v>
      </c>
      <c r="H42" s="5"/>
      <c r="J42" s="30" t="s">
        <v>81</v>
      </c>
      <c r="K42" s="5"/>
    </row>
    <row r="43" spans="1:11" x14ac:dyDescent="0.25">
      <c r="A43" s="31">
        <f>A4+G4+J4+D4</f>
        <v>3</v>
      </c>
      <c r="B43" s="2" t="s">
        <v>40</v>
      </c>
      <c r="C43" s="35">
        <f>D43*15</f>
        <v>0</v>
      </c>
      <c r="D43" s="15"/>
      <c r="E43" s="2" t="s">
        <v>18</v>
      </c>
      <c r="G43" s="13">
        <f>A25+D25</f>
        <v>5</v>
      </c>
      <c r="H43" s="2" t="s">
        <v>44</v>
      </c>
      <c r="J43" s="13">
        <f>A9+A29+G9+J9+D9+D29</f>
        <v>36</v>
      </c>
      <c r="K43" s="2" t="s">
        <v>9</v>
      </c>
    </row>
    <row r="44" spans="1:11" x14ac:dyDescent="0.25">
      <c r="A44" s="26">
        <f>A5+G5+J5+D5</f>
        <v>16</v>
      </c>
      <c r="B44" s="2" t="s">
        <v>41</v>
      </c>
      <c r="C44" s="35">
        <f t="shared" ref="C44:C50" si="0">D44*15</f>
        <v>0</v>
      </c>
      <c r="D44" s="14"/>
      <c r="E44" s="2" t="s">
        <v>19</v>
      </c>
      <c r="G44" s="13">
        <f>A26+D26+G25</f>
        <v>18</v>
      </c>
      <c r="H44" s="2" t="s">
        <v>45</v>
      </c>
      <c r="J44" s="13">
        <f>A10+A30+G10+J10+D10+D30+A38</f>
        <v>35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26</v>
      </c>
      <c r="G45" s="13">
        <f>A27+D27+G26</f>
        <v>3</v>
      </c>
      <c r="H45" s="2" t="s">
        <v>29</v>
      </c>
      <c r="J45" s="13">
        <f>A11+G11+J11+D11</f>
        <v>0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20</v>
      </c>
      <c r="G46" s="14">
        <f>A28+D28</f>
        <v>14</v>
      </c>
      <c r="H46" s="2" t="s">
        <v>132</v>
      </c>
      <c r="J46" s="13">
        <f>G34</f>
        <v>4</v>
      </c>
      <c r="K46" s="2" t="s">
        <v>54</v>
      </c>
    </row>
    <row r="47" spans="1:11" x14ac:dyDescent="0.25">
      <c r="A47" s="26">
        <f>A8+G8+J8+D8+D37</f>
        <v>77</v>
      </c>
      <c r="B47" s="2" t="s">
        <v>6</v>
      </c>
      <c r="C47" s="35">
        <f>D47*12</f>
        <v>0</v>
      </c>
      <c r="D47" s="14"/>
      <c r="E47" s="2" t="s">
        <v>22</v>
      </c>
      <c r="J47" s="13">
        <f>A12+J20+G12+J12+A36+D12+D36+J27+J24+J17</f>
        <v>69</v>
      </c>
      <c r="K47" s="2" t="s">
        <v>43</v>
      </c>
    </row>
    <row r="48" spans="1:11" x14ac:dyDescent="0.25">
      <c r="A48" s="21">
        <f>A13+G13+D13</f>
        <v>1</v>
      </c>
      <c r="B48" s="2" t="s">
        <v>14</v>
      </c>
      <c r="C48" s="35">
        <f>D48*10</f>
        <v>0</v>
      </c>
      <c r="D48" s="14"/>
      <c r="E48" s="2" t="s">
        <v>21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23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24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25</v>
      </c>
    </row>
    <row r="52" spans="1:11" x14ac:dyDescent="0.25">
      <c r="C52" s="35">
        <f>D52*8</f>
        <v>0</v>
      </c>
      <c r="D52" s="14"/>
      <c r="E52" s="2" t="s">
        <v>27</v>
      </c>
    </row>
    <row r="57" spans="1:11" ht="15.75" thickBot="1" x14ac:dyDescent="0.3">
      <c r="A57" s="30" t="s">
        <v>82</v>
      </c>
      <c r="B57" s="5"/>
      <c r="F57" s="34" t="s">
        <v>134</v>
      </c>
      <c r="G57" s="30" t="s">
        <v>84</v>
      </c>
      <c r="H57" s="5"/>
      <c r="J57" s="5" t="s">
        <v>167</v>
      </c>
      <c r="K57" s="30" t="s">
        <v>166</v>
      </c>
    </row>
    <row r="58" spans="1:11" x14ac:dyDescent="0.25">
      <c r="A58" s="13">
        <f>A14+G14+D14</f>
        <v>1</v>
      </c>
      <c r="B58" s="2" t="s">
        <v>13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40</v>
      </c>
    </row>
    <row r="59" spans="1:11" x14ac:dyDescent="0.25">
      <c r="A59" s="13">
        <f>A15+G15+D15</f>
        <v>3</v>
      </c>
      <c r="B59" s="2" t="s">
        <v>15</v>
      </c>
      <c r="F59" s="35">
        <f t="shared" ref="F59:F62" si="1">G59*15</f>
        <v>15</v>
      </c>
      <c r="G59" s="21">
        <f>A48</f>
        <v>1</v>
      </c>
      <c r="H59" s="2" t="s">
        <v>14</v>
      </c>
      <c r="J59" s="14">
        <f>IF(MOD((A5),24)=0,(A5)/24,0)+IF(MOD((D5),24)=0,(D5)/24,0)+IF(MOD((G5),24)=0,(G5)/24,0)</f>
        <v>0</v>
      </c>
      <c r="K59" t="s">
        <v>41</v>
      </c>
    </row>
    <row r="60" spans="1:11" x14ac:dyDescent="0.25">
      <c r="A60" s="13">
        <f>A16+G16+D16</f>
        <v>3</v>
      </c>
      <c r="B60" s="2" t="s">
        <v>16</v>
      </c>
      <c r="F60" s="35">
        <f>G60*10</f>
        <v>0</v>
      </c>
      <c r="G60" s="29">
        <f>J45</f>
        <v>0</v>
      </c>
      <c r="H60" s="2" t="s">
        <v>8</v>
      </c>
      <c r="J60" s="13">
        <f>IF(MOD((A8),20)=0,(A8)/20,0)+IF(MOD((D8),20)=0,(D8)/20,0)+IF(MOD((G8),20)=0,(G8)/20,0)</f>
        <v>2</v>
      </c>
      <c r="K60" s="2" t="s">
        <v>6</v>
      </c>
    </row>
    <row r="61" spans="1:11" x14ac:dyDescent="0.25">
      <c r="A61" s="13">
        <f>A17+G17+D17</f>
        <v>2</v>
      </c>
      <c r="B61" s="2" t="s">
        <v>10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44</v>
      </c>
    </row>
    <row r="62" spans="1:11" x14ac:dyDescent="0.25">
      <c r="A62" s="13">
        <f>A18+G18+D18+G27</f>
        <v>1</v>
      </c>
      <c r="B62" s="2" t="s">
        <v>11</v>
      </c>
      <c r="F62" s="35">
        <f t="shared" si="1"/>
        <v>45</v>
      </c>
      <c r="G62" s="21">
        <f>G45</f>
        <v>3</v>
      </c>
      <c r="H62" s="2" t="s">
        <v>29</v>
      </c>
      <c r="J62" s="14">
        <f>IF(MOD((A26),24)=0,(A26)/24,0)+IF(MOD((D26),24)=0,(D26)/24,0)</f>
        <v>0</v>
      </c>
      <c r="K62" s="2" t="s">
        <v>45</v>
      </c>
    </row>
    <row r="63" spans="1:11" x14ac:dyDescent="0.25">
      <c r="A63" s="13">
        <f>A19+G19+D19</f>
        <v>2</v>
      </c>
      <c r="B63" s="2" t="s">
        <v>12</v>
      </c>
      <c r="F63" s="35">
        <f>G63*5</f>
        <v>385</v>
      </c>
      <c r="G63" s="21">
        <f>A47</f>
        <v>77</v>
      </c>
      <c r="H63" s="2" t="s">
        <v>53</v>
      </c>
      <c r="J63" s="14">
        <f>IF(MOD((A28),13)=0,(A28)/13,0)+IF(MOD((D28),13)=0,(D28)/13,0)</f>
        <v>0</v>
      </c>
      <c r="K63" s="2" t="s">
        <v>133</v>
      </c>
    </row>
    <row r="64" spans="1:11" x14ac:dyDescent="0.25">
      <c r="A64" s="13">
        <f>A20+G20+D20</f>
        <v>2</v>
      </c>
      <c r="B64" s="2" t="s">
        <v>17</v>
      </c>
      <c r="F64" s="35">
        <f>G64*8</f>
        <v>112</v>
      </c>
      <c r="G64" s="21">
        <f>G46</f>
        <v>14</v>
      </c>
      <c r="H64" s="2" t="s">
        <v>133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C35" sqref="C35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136</v>
      </c>
      <c r="B1" s="92"/>
      <c r="C1" s="91">
        <f>DATE(2024,1,1)+(Mon!B2-1)*7+2</f>
        <v>45518</v>
      </c>
      <c r="D1" s="91"/>
      <c r="E1" s="91"/>
      <c r="G1" s="63" t="s">
        <v>173</v>
      </c>
      <c r="H1" s="64">
        <f>Mon!C1+49-1</f>
        <v>45564</v>
      </c>
      <c r="J1" s="17" t="s">
        <v>120</v>
      </c>
      <c r="K1" s="17"/>
    </row>
    <row r="2" spans="1:11" ht="12.75" customHeight="1" x14ac:dyDescent="0.25">
      <c r="J2" s="39">
        <v>3</v>
      </c>
      <c r="K2" s="2" t="s">
        <v>40</v>
      </c>
    </row>
    <row r="3" spans="1:11" ht="12.75" customHeight="1" thickBot="1" x14ac:dyDescent="0.3">
      <c r="A3" s="17" t="s">
        <v>69</v>
      </c>
      <c r="B3" s="5"/>
      <c r="D3" s="17" t="s">
        <v>71</v>
      </c>
      <c r="E3" s="17"/>
      <c r="G3" s="17" t="s">
        <v>113</v>
      </c>
      <c r="H3" s="17"/>
      <c r="J3" s="39">
        <v>8</v>
      </c>
      <c r="K3" s="2" t="s">
        <v>41</v>
      </c>
    </row>
    <row r="4" spans="1:11" ht="12.75" customHeight="1" x14ac:dyDescent="0.25">
      <c r="A4" s="39">
        <v>4</v>
      </c>
      <c r="B4" s="28" t="s">
        <v>1</v>
      </c>
      <c r="D4" s="39">
        <v>2</v>
      </c>
      <c r="E4" s="2" t="s">
        <v>40</v>
      </c>
      <c r="G4" s="39">
        <v>2</v>
      </c>
      <c r="H4" s="2" t="s">
        <v>40</v>
      </c>
      <c r="J4" s="39">
        <v>10</v>
      </c>
      <c r="K4" s="2" t="s">
        <v>2</v>
      </c>
    </row>
    <row r="5" spans="1:11" ht="12.75" customHeight="1" x14ac:dyDescent="0.25">
      <c r="A5" s="25"/>
      <c r="B5" s="2"/>
      <c r="D5" s="39">
        <v>13</v>
      </c>
      <c r="E5" s="2" t="s">
        <v>41</v>
      </c>
      <c r="G5" s="39">
        <v>10</v>
      </c>
      <c r="H5" s="2" t="s">
        <v>41</v>
      </c>
      <c r="J5" s="39">
        <v>12</v>
      </c>
      <c r="K5" s="2" t="s">
        <v>6</v>
      </c>
    </row>
    <row r="6" spans="1:11" ht="12.75" customHeight="1" thickBot="1" x14ac:dyDescent="0.3">
      <c r="A6" s="17" t="s">
        <v>70</v>
      </c>
      <c r="B6" s="5"/>
      <c r="D6" s="39">
        <v>4</v>
      </c>
      <c r="E6" s="2" t="s">
        <v>5</v>
      </c>
      <c r="G6" s="39">
        <v>2</v>
      </c>
      <c r="H6" s="2" t="s">
        <v>5</v>
      </c>
      <c r="J6" s="39">
        <v>6</v>
      </c>
      <c r="K6" s="2" t="s">
        <v>46</v>
      </c>
    </row>
    <row r="7" spans="1:11" ht="12.75" customHeight="1" x14ac:dyDescent="0.25">
      <c r="A7" s="39">
        <v>3</v>
      </c>
      <c r="B7" s="28" t="s">
        <v>1</v>
      </c>
      <c r="D7" s="39">
        <v>8</v>
      </c>
      <c r="E7" s="2" t="s">
        <v>9</v>
      </c>
      <c r="G7" s="39">
        <v>15</v>
      </c>
      <c r="H7" s="16" t="s">
        <v>6</v>
      </c>
      <c r="J7" s="39">
        <v>8</v>
      </c>
      <c r="K7" s="2" t="s">
        <v>54</v>
      </c>
    </row>
    <row r="8" spans="1:11" ht="12.75" customHeight="1" x14ac:dyDescent="0.25">
      <c r="A8" s="24"/>
      <c r="B8" s="2"/>
      <c r="D8" s="39">
        <v>22</v>
      </c>
      <c r="E8" s="16" t="s">
        <v>7</v>
      </c>
      <c r="G8" s="39">
        <f>SUM(G4:G7)</f>
        <v>29</v>
      </c>
      <c r="H8" s="22" t="s">
        <v>34</v>
      </c>
      <c r="J8" s="39">
        <v>8</v>
      </c>
      <c r="K8" s="2" t="s">
        <v>43</v>
      </c>
    </row>
    <row r="9" spans="1:11" ht="12.75" customHeight="1" thickBot="1" x14ac:dyDescent="0.3">
      <c r="A9" s="17" t="s">
        <v>72</v>
      </c>
      <c r="B9" s="5"/>
      <c r="D9" s="39">
        <f>SUM(D4:D8)</f>
        <v>49</v>
      </c>
      <c r="E9" s="22" t="s">
        <v>34</v>
      </c>
      <c r="J9" s="39">
        <v>12</v>
      </c>
      <c r="K9" s="2" t="s">
        <v>76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185</v>
      </c>
    </row>
    <row r="11" spans="1:11" ht="12.75" customHeight="1" thickBot="1" x14ac:dyDescent="0.3">
      <c r="B11" s="2"/>
      <c r="D11" s="17" t="s">
        <v>137</v>
      </c>
      <c r="E11" s="17"/>
      <c r="G11" s="17" t="s">
        <v>115</v>
      </c>
      <c r="H11" s="17"/>
      <c r="J11" s="39">
        <v>0</v>
      </c>
      <c r="K11" s="16" t="s">
        <v>187</v>
      </c>
    </row>
    <row r="12" spans="1:11" ht="12.75" customHeight="1" thickBot="1" x14ac:dyDescent="0.3">
      <c r="A12" s="17" t="s">
        <v>73</v>
      </c>
      <c r="B12" s="5"/>
      <c r="D12" s="39">
        <v>0</v>
      </c>
      <c r="E12" s="2" t="s">
        <v>40</v>
      </c>
      <c r="G12" s="39">
        <v>9</v>
      </c>
      <c r="H12" s="2" t="s">
        <v>40</v>
      </c>
      <c r="J12" s="39">
        <f>SUM(J2:J11)</f>
        <v>67</v>
      </c>
      <c r="K12" s="22" t="s">
        <v>34</v>
      </c>
    </row>
    <row r="13" spans="1:11" ht="12.75" customHeight="1" x14ac:dyDescent="0.25">
      <c r="A13" s="39">
        <v>1</v>
      </c>
      <c r="B13" s="28" t="s">
        <v>1</v>
      </c>
      <c r="D13" s="39">
        <v>12</v>
      </c>
      <c r="E13" s="2" t="s">
        <v>41</v>
      </c>
      <c r="G13" s="39">
        <v>12</v>
      </c>
      <c r="H13" s="2" t="s">
        <v>41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6</v>
      </c>
      <c r="H14" s="2" t="s">
        <v>5</v>
      </c>
      <c r="J14" s="17" t="s">
        <v>123</v>
      </c>
      <c r="K14" s="17"/>
    </row>
    <row r="15" spans="1:11" ht="12.75" customHeight="1" thickBot="1" x14ac:dyDescent="0.3">
      <c r="A15" s="17" t="s">
        <v>74</v>
      </c>
      <c r="B15" s="5"/>
      <c r="D15" s="39">
        <v>12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40</v>
      </c>
    </row>
    <row r="16" spans="1:11" ht="12.75" customHeight="1" x14ac:dyDescent="0.25">
      <c r="A16" s="39">
        <v>1</v>
      </c>
      <c r="B16" s="28" t="s">
        <v>0</v>
      </c>
      <c r="D16" s="39">
        <v>6</v>
      </c>
      <c r="E16" s="2" t="s">
        <v>9</v>
      </c>
      <c r="G16" s="39">
        <v>0</v>
      </c>
      <c r="H16" s="2" t="s">
        <v>185</v>
      </c>
      <c r="J16" s="39">
        <v>8</v>
      </c>
      <c r="K16" s="2" t="s">
        <v>41</v>
      </c>
    </row>
    <row r="17" spans="1:11" ht="12.75" customHeight="1" x14ac:dyDescent="0.25">
      <c r="B17" s="2"/>
      <c r="D17" s="39">
        <v>5</v>
      </c>
      <c r="E17" s="16" t="s">
        <v>7</v>
      </c>
      <c r="F17" s="2"/>
      <c r="G17" s="39">
        <v>0</v>
      </c>
      <c r="H17" s="16" t="s">
        <v>187</v>
      </c>
      <c r="J17" s="39">
        <v>4</v>
      </c>
      <c r="K17" s="2" t="s">
        <v>5</v>
      </c>
    </row>
    <row r="18" spans="1:11" ht="12.75" customHeight="1" thickBot="1" x14ac:dyDescent="0.3">
      <c r="A18" s="17" t="s">
        <v>75</v>
      </c>
      <c r="B18" s="5"/>
      <c r="D18" s="39">
        <f>SUM(D12:D17)</f>
        <v>37</v>
      </c>
      <c r="E18" s="22" t="s">
        <v>34</v>
      </c>
      <c r="G18" s="39">
        <f>SUM(G12:G17)</f>
        <v>42</v>
      </c>
      <c r="H18" s="22" t="s">
        <v>34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46</v>
      </c>
    </row>
    <row r="20" spans="1:11" ht="12.75" customHeight="1" x14ac:dyDescent="0.25">
      <c r="E20" s="2"/>
      <c r="J20" s="39">
        <v>12</v>
      </c>
      <c r="K20" s="16" t="s">
        <v>76</v>
      </c>
    </row>
    <row r="21" spans="1:11" ht="12.75" customHeight="1" thickBot="1" x14ac:dyDescent="0.3">
      <c r="A21" s="17" t="s">
        <v>108</v>
      </c>
      <c r="B21" s="5"/>
      <c r="D21" s="17" t="s">
        <v>111</v>
      </c>
      <c r="E21" s="17"/>
      <c r="G21" s="17" t="s">
        <v>114</v>
      </c>
      <c r="H21" s="5"/>
      <c r="J21" s="39">
        <f>SUM(J15:J20)</f>
        <v>30</v>
      </c>
      <c r="K21" s="22" t="s">
        <v>34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54</v>
      </c>
      <c r="G22" s="39">
        <v>2</v>
      </c>
      <c r="H22" s="28" t="s">
        <v>1</v>
      </c>
    </row>
    <row r="23" spans="1:11" ht="12.75" customHeight="1" thickBot="1" x14ac:dyDescent="0.3">
      <c r="D23" s="39">
        <v>12</v>
      </c>
      <c r="E23" s="2" t="s">
        <v>43</v>
      </c>
      <c r="H23" s="2"/>
      <c r="J23" s="17" t="s">
        <v>122</v>
      </c>
      <c r="K23" s="5"/>
    </row>
    <row r="24" spans="1:11" ht="12.75" customHeight="1" thickBot="1" x14ac:dyDescent="0.3">
      <c r="A24" s="17" t="s">
        <v>109</v>
      </c>
      <c r="B24" s="5"/>
      <c r="D24" s="39">
        <v>4</v>
      </c>
      <c r="E24" s="2" t="s">
        <v>2</v>
      </c>
      <c r="G24" s="17" t="s">
        <v>116</v>
      </c>
      <c r="H24" s="5"/>
      <c r="J24" s="39">
        <v>2</v>
      </c>
      <c r="K24" s="2" t="s">
        <v>54</v>
      </c>
    </row>
    <row r="25" spans="1:11" ht="12.75" customHeight="1" x14ac:dyDescent="0.25">
      <c r="A25" s="39">
        <v>3</v>
      </c>
      <c r="B25" s="2" t="s">
        <v>43</v>
      </c>
      <c r="D25" s="39">
        <v>0</v>
      </c>
      <c r="E25" s="2" t="s">
        <v>1</v>
      </c>
      <c r="G25" s="39">
        <v>0</v>
      </c>
      <c r="H25" s="2" t="s">
        <v>43</v>
      </c>
      <c r="J25" s="39">
        <v>2</v>
      </c>
      <c r="K25" s="2" t="s">
        <v>43</v>
      </c>
    </row>
    <row r="26" spans="1:11" ht="12.75" customHeight="1" x14ac:dyDescent="0.25">
      <c r="A26" s="39">
        <v>2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2</v>
      </c>
      <c r="K26" s="16" t="s">
        <v>2</v>
      </c>
    </row>
    <row r="27" spans="1:11" ht="12.75" customHeight="1" x14ac:dyDescent="0.25">
      <c r="A27" s="39">
        <f>SUM(A25:A26)</f>
        <v>5</v>
      </c>
      <c r="B27" s="22" t="s">
        <v>34</v>
      </c>
      <c r="D27" s="39">
        <v>0</v>
      </c>
      <c r="E27" s="2" t="s">
        <v>185</v>
      </c>
      <c r="G27" s="39">
        <f>SUM(G25:G26)</f>
        <v>0</v>
      </c>
      <c r="H27" s="22" t="s">
        <v>34</v>
      </c>
      <c r="J27" s="39">
        <f>SUM(J24:J26)</f>
        <v>6</v>
      </c>
      <c r="K27" s="22" t="s">
        <v>34</v>
      </c>
    </row>
    <row r="28" spans="1:11" ht="12.75" customHeight="1" x14ac:dyDescent="0.25">
      <c r="D28" s="39">
        <v>0</v>
      </c>
      <c r="E28" s="16" t="s">
        <v>187</v>
      </c>
      <c r="H28" s="2"/>
    </row>
    <row r="29" spans="1:11" ht="12.75" customHeight="1" thickBot="1" x14ac:dyDescent="0.3">
      <c r="A29" s="17" t="s">
        <v>110</v>
      </c>
      <c r="B29" s="5"/>
      <c r="D29" s="39">
        <f>SUM(D22:D28)</f>
        <v>22</v>
      </c>
      <c r="E29" s="22" t="s">
        <v>34</v>
      </c>
      <c r="G29" s="17" t="s">
        <v>117</v>
      </c>
      <c r="H29" s="5"/>
      <c r="J29" s="17" t="s">
        <v>121</v>
      </c>
      <c r="K29" s="5"/>
    </row>
    <row r="30" spans="1:11" ht="12.75" customHeight="1" x14ac:dyDescent="0.25">
      <c r="A30" s="39">
        <v>3</v>
      </c>
      <c r="B30" s="2" t="s">
        <v>54</v>
      </c>
      <c r="E30" s="2"/>
      <c r="G30" s="39">
        <v>1</v>
      </c>
      <c r="H30" s="28" t="s">
        <v>43</v>
      </c>
      <c r="J30" s="39">
        <v>2</v>
      </c>
      <c r="K30" s="2" t="s">
        <v>54</v>
      </c>
    </row>
    <row r="31" spans="1:11" ht="12.75" customHeight="1" thickBot="1" x14ac:dyDescent="0.3">
      <c r="A31" s="39">
        <v>3</v>
      </c>
      <c r="B31" s="16" t="s">
        <v>192</v>
      </c>
      <c r="D31" s="30" t="s">
        <v>112</v>
      </c>
      <c r="E31" s="5"/>
      <c r="J31" s="39">
        <v>2</v>
      </c>
      <c r="K31" s="2" t="s">
        <v>43</v>
      </c>
    </row>
    <row r="32" spans="1:11" ht="12.75" customHeight="1" thickBot="1" x14ac:dyDescent="0.3">
      <c r="A32" s="39">
        <f>SUM(A30:A31)</f>
        <v>6</v>
      </c>
      <c r="B32" s="22" t="s">
        <v>34</v>
      </c>
      <c r="D32" s="39">
        <v>0</v>
      </c>
      <c r="E32" s="2" t="s">
        <v>54</v>
      </c>
      <c r="G32" s="17" t="s">
        <v>118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0</v>
      </c>
      <c r="E33" s="2" t="s">
        <v>43</v>
      </c>
      <c r="G33" s="39">
        <v>2</v>
      </c>
      <c r="H33" s="28" t="s">
        <v>1</v>
      </c>
      <c r="J33" s="39">
        <f>SUM(J30:J32)</f>
        <v>4</v>
      </c>
      <c r="K33" s="2" t="s">
        <v>34</v>
      </c>
    </row>
    <row r="34" spans="1:11" ht="12.75" customHeight="1" x14ac:dyDescent="0.25">
      <c r="D34" s="39">
        <v>0</v>
      </c>
      <c r="E34" s="16" t="s">
        <v>2</v>
      </c>
      <c r="H34" s="2"/>
    </row>
    <row r="35" spans="1:11" ht="12.75" customHeight="1" thickBot="1" x14ac:dyDescent="0.3">
      <c r="D35" s="39">
        <f>SUM(D32:D34)</f>
        <v>0</v>
      </c>
      <c r="E35" s="22" t="s">
        <v>34</v>
      </c>
      <c r="G35" s="17" t="s">
        <v>119</v>
      </c>
      <c r="H35" s="5"/>
      <c r="J35" s="17" t="s">
        <v>77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1</v>
      </c>
      <c r="K36" s="2" t="s">
        <v>43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2</v>
      </c>
      <c r="K38" s="22" t="s">
        <v>34</v>
      </c>
    </row>
    <row r="39" spans="1:11" ht="26.1" customHeight="1" x14ac:dyDescent="0.35">
      <c r="A39" s="19" t="s">
        <v>83</v>
      </c>
    </row>
    <row r="41" spans="1:11" ht="15.75" thickBot="1" x14ac:dyDescent="0.3">
      <c r="A41" s="30" t="s">
        <v>78</v>
      </c>
      <c r="B41" s="5"/>
      <c r="C41" s="38" t="s">
        <v>134</v>
      </c>
      <c r="D41" s="30" t="s">
        <v>79</v>
      </c>
      <c r="E41" s="5"/>
      <c r="G41" s="30" t="s">
        <v>80</v>
      </c>
      <c r="H41" s="5"/>
      <c r="J41" s="30" t="s">
        <v>81</v>
      </c>
      <c r="K41" s="5"/>
    </row>
    <row r="42" spans="1:11" x14ac:dyDescent="0.25">
      <c r="A42" s="31">
        <f>D4+D12+G4+G12+J2+J15+J15</f>
        <v>16</v>
      </c>
      <c r="B42" s="2" t="s">
        <v>40</v>
      </c>
      <c r="C42" s="35">
        <f>D42*15</f>
        <v>0</v>
      </c>
      <c r="D42" s="15"/>
      <c r="E42" s="2" t="s">
        <v>18</v>
      </c>
      <c r="G42" s="13">
        <f>D32</f>
        <v>0</v>
      </c>
      <c r="H42" s="2" t="s">
        <v>44</v>
      </c>
      <c r="J42" s="13">
        <f>D7+D16+J6+J19</f>
        <v>26</v>
      </c>
      <c r="K42" s="2" t="s">
        <v>9</v>
      </c>
    </row>
    <row r="43" spans="1:11" x14ac:dyDescent="0.25">
      <c r="A43" s="26">
        <f>D5+D13+G5+G13+J3+J16+J16</f>
        <v>71</v>
      </c>
      <c r="B43" s="2" t="s">
        <v>41</v>
      </c>
      <c r="C43" s="35">
        <f t="shared" ref="C43:C49" si="0">D43*15</f>
        <v>0</v>
      </c>
      <c r="D43" s="14"/>
      <c r="E43" s="2" t="s">
        <v>19</v>
      </c>
      <c r="G43" s="13">
        <f>D33</f>
        <v>0</v>
      </c>
      <c r="H43" s="2" t="s">
        <v>45</v>
      </c>
      <c r="J43" s="13">
        <f>D8+D17+J9+J20</f>
        <v>51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26</v>
      </c>
      <c r="G44" s="13">
        <f>D34</f>
        <v>0</v>
      </c>
      <c r="H44" s="2" t="s">
        <v>29</v>
      </c>
      <c r="J44" s="13"/>
      <c r="K44" s="2" t="s">
        <v>8</v>
      </c>
    </row>
    <row r="45" spans="1:11" x14ac:dyDescent="0.25">
      <c r="A45" s="26">
        <f>D6+D14+G6+G14+J4+J17+J17</f>
        <v>32</v>
      </c>
      <c r="B45" s="2" t="s">
        <v>5</v>
      </c>
      <c r="C45" s="35">
        <f t="shared" si="0"/>
        <v>0</v>
      </c>
      <c r="D45" s="14"/>
      <c r="E45" s="2" t="s">
        <v>20</v>
      </c>
      <c r="G45" s="14"/>
      <c r="H45" s="2" t="s">
        <v>132</v>
      </c>
      <c r="J45" s="13">
        <f>A30+D22+J7+J30+J24</f>
        <v>21</v>
      </c>
      <c r="K45" s="2" t="s">
        <v>54</v>
      </c>
    </row>
    <row r="46" spans="1:11" x14ac:dyDescent="0.25">
      <c r="A46" s="26">
        <f>D15+D26+G7+G15+J5+J18+J18</f>
        <v>54</v>
      </c>
      <c r="B46" s="2" t="s">
        <v>6</v>
      </c>
      <c r="C46" s="35">
        <f>D46*12</f>
        <v>0</v>
      </c>
      <c r="D46" s="14"/>
      <c r="E46" s="2" t="s">
        <v>22</v>
      </c>
      <c r="J46" s="13">
        <f>A25+D23+G25+G30+J8+J31+J25+J36</f>
        <v>29</v>
      </c>
      <c r="K46" s="2" t="s">
        <v>43</v>
      </c>
    </row>
    <row r="47" spans="1:11" x14ac:dyDescent="0.25">
      <c r="A47" s="32"/>
      <c r="B47" s="2" t="s">
        <v>14</v>
      </c>
      <c r="C47" s="35">
        <f>D47*10</f>
        <v>0</v>
      </c>
      <c r="D47" s="14"/>
      <c r="E47" s="2" t="s">
        <v>21</v>
      </c>
      <c r="J47" s="13">
        <f>D24+J32+J26+J37</f>
        <v>7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23</v>
      </c>
      <c r="J48" s="14">
        <f>A4+A7+A10+A13+A19+A26+A31+D25+G22+G26+G33</f>
        <v>20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25</v>
      </c>
    </row>
    <row r="51" spans="1:11" x14ac:dyDescent="0.25">
      <c r="C51" s="35">
        <f>D51*8</f>
        <v>0</v>
      </c>
      <c r="D51" s="14"/>
      <c r="E51" s="2" t="s">
        <v>27</v>
      </c>
    </row>
    <row r="56" spans="1:11" ht="15.75" thickBot="1" x14ac:dyDescent="0.3">
      <c r="A56" s="30" t="s">
        <v>82</v>
      </c>
      <c r="B56" s="5"/>
      <c r="F56" s="34" t="s">
        <v>134</v>
      </c>
      <c r="G56" s="30" t="s">
        <v>84</v>
      </c>
      <c r="H56" s="5"/>
    </row>
    <row r="57" spans="1:11" x14ac:dyDescent="0.25">
      <c r="A57" s="13"/>
      <c r="B57" s="2" t="s">
        <v>13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15</v>
      </c>
      <c r="F58" s="35">
        <f t="shared" ref="F58:F61" si="1">G58*15</f>
        <v>0</v>
      </c>
      <c r="G58" s="21">
        <f>A47</f>
        <v>0</v>
      </c>
      <c r="H58" s="2" t="s">
        <v>14</v>
      </c>
    </row>
    <row r="59" spans="1:11" x14ac:dyDescent="0.25">
      <c r="A59" s="13"/>
      <c r="B59" s="2" t="s">
        <v>16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10</v>
      </c>
      <c r="F60" s="35">
        <f t="shared" si="1"/>
        <v>480</v>
      </c>
      <c r="G60" s="26">
        <f>A45</f>
        <v>32</v>
      </c>
      <c r="H60" s="2" t="s">
        <v>5</v>
      </c>
    </row>
    <row r="61" spans="1:11" x14ac:dyDescent="0.25">
      <c r="A61" s="13">
        <f>D28+G17+J11</f>
        <v>0</v>
      </c>
      <c r="B61" s="2" t="s">
        <v>11</v>
      </c>
      <c r="F61" s="35">
        <f t="shared" si="1"/>
        <v>0</v>
      </c>
      <c r="G61" s="21">
        <f>G44</f>
        <v>0</v>
      </c>
      <c r="H61" s="2" t="s">
        <v>29</v>
      </c>
    </row>
    <row r="62" spans="1:11" x14ac:dyDescent="0.25">
      <c r="A62" s="13"/>
      <c r="B62" s="2" t="s">
        <v>12</v>
      </c>
      <c r="F62" s="35">
        <f>G62*5</f>
        <v>270</v>
      </c>
      <c r="G62" s="21">
        <f>A46</f>
        <v>54</v>
      </c>
      <c r="H62" s="2" t="s">
        <v>53</v>
      </c>
    </row>
    <row r="63" spans="1:11" x14ac:dyDescent="0.25">
      <c r="A63" s="13"/>
      <c r="B63" s="2" t="s">
        <v>17</v>
      </c>
      <c r="F63" s="35">
        <f>G63*8</f>
        <v>0</v>
      </c>
      <c r="G63" s="21">
        <f>G45</f>
        <v>0</v>
      </c>
      <c r="H63" s="2" t="s">
        <v>133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topLeftCell="A13" zoomScale="70" zoomScaleNormal="100" zoomScalePageLayoutView="70" workbookViewId="0">
      <selection activeCell="H26" sqref="H26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136</v>
      </c>
      <c r="B1" s="92"/>
      <c r="C1" s="91">
        <f>DATE(2024,1,1)+(Mon!B2-1)*7+3</f>
        <v>45519</v>
      </c>
      <c r="D1" s="91"/>
      <c r="E1" s="91"/>
      <c r="F1" s="1"/>
      <c r="G1" s="63" t="s">
        <v>173</v>
      </c>
      <c r="H1" s="64">
        <f>Mon!C1+49-1</f>
        <v>45564</v>
      </c>
      <c r="K1" s="19" t="s">
        <v>37</v>
      </c>
    </row>
    <row r="3" spans="1:11" ht="15.75" thickBot="1" x14ac:dyDescent="0.3">
      <c r="A3" s="17" t="s">
        <v>38</v>
      </c>
      <c r="B3" s="17"/>
      <c r="D3" s="20" t="s">
        <v>125</v>
      </c>
      <c r="E3" s="5"/>
      <c r="G3" s="20" t="s">
        <v>126</v>
      </c>
      <c r="H3" s="5"/>
      <c r="J3" s="20" t="s">
        <v>127</v>
      </c>
      <c r="K3" s="5"/>
    </row>
    <row r="4" spans="1:11" x14ac:dyDescent="0.25">
      <c r="A4" s="39">
        <v>1</v>
      </c>
      <c r="B4" s="2" t="s">
        <v>40</v>
      </c>
      <c r="D4" s="39">
        <v>0</v>
      </c>
      <c r="E4" s="2" t="s">
        <v>3</v>
      </c>
      <c r="G4" s="39">
        <v>1</v>
      </c>
      <c r="H4" s="2" t="s">
        <v>44</v>
      </c>
      <c r="J4" s="44">
        <v>6</v>
      </c>
      <c r="K4" s="2" t="s">
        <v>18</v>
      </c>
    </row>
    <row r="5" spans="1:11" x14ac:dyDescent="0.25">
      <c r="A5" s="39">
        <v>5</v>
      </c>
      <c r="B5" s="2" t="s">
        <v>41</v>
      </c>
      <c r="D5" s="39">
        <v>8</v>
      </c>
      <c r="E5" s="2" t="s">
        <v>39</v>
      </c>
      <c r="G5" s="39">
        <v>10</v>
      </c>
      <c r="H5" s="2" t="s">
        <v>45</v>
      </c>
      <c r="J5" s="39">
        <v>6</v>
      </c>
      <c r="K5" s="2" t="s">
        <v>19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2</v>
      </c>
      <c r="H6" s="2" t="s">
        <v>29</v>
      </c>
      <c r="J6" s="39">
        <v>0</v>
      </c>
      <c r="K6" s="2" t="s">
        <v>26</v>
      </c>
    </row>
    <row r="7" spans="1:1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7</v>
      </c>
      <c r="H7" s="2" t="s">
        <v>133</v>
      </c>
      <c r="J7" s="39">
        <v>1</v>
      </c>
      <c r="K7" s="2" t="s">
        <v>20</v>
      </c>
    </row>
    <row r="8" spans="1:11" x14ac:dyDescent="0.25">
      <c r="A8" s="39">
        <v>12</v>
      </c>
      <c r="B8" s="2" t="s">
        <v>6</v>
      </c>
      <c r="D8" s="39">
        <v>4</v>
      </c>
      <c r="E8" s="2" t="s">
        <v>9</v>
      </c>
      <c r="G8" s="39">
        <v>15</v>
      </c>
      <c r="H8" s="2" t="s">
        <v>7</v>
      </c>
      <c r="J8" s="39">
        <v>0</v>
      </c>
      <c r="K8" s="2" t="s">
        <v>22</v>
      </c>
    </row>
    <row r="9" spans="1:11" x14ac:dyDescent="0.25">
      <c r="A9" s="39">
        <v>8</v>
      </c>
      <c r="B9" s="2" t="s">
        <v>9</v>
      </c>
      <c r="D9" s="39">
        <v>6</v>
      </c>
      <c r="E9" s="2" t="s">
        <v>7</v>
      </c>
      <c r="G9" s="39">
        <v>6</v>
      </c>
      <c r="H9" s="16" t="s">
        <v>46</v>
      </c>
      <c r="J9" s="39">
        <v>8</v>
      </c>
      <c r="K9" s="2" t="s">
        <v>21</v>
      </c>
    </row>
    <row r="10" spans="1:11" x14ac:dyDescent="0.25">
      <c r="A10" s="39">
        <v>5</v>
      </c>
      <c r="B10" s="2" t="s">
        <v>7</v>
      </c>
      <c r="D10" s="39">
        <v>0</v>
      </c>
      <c r="E10" s="16" t="s">
        <v>8</v>
      </c>
      <c r="G10" s="39">
        <f>SUM(G4:G9)</f>
        <v>41</v>
      </c>
      <c r="H10" s="22" t="s">
        <v>34</v>
      </c>
      <c r="J10" s="39">
        <v>0</v>
      </c>
      <c r="K10" s="2" t="s">
        <v>23</v>
      </c>
    </row>
    <row r="11" spans="1:11" x14ac:dyDescent="0.25">
      <c r="A11" s="39">
        <v>6</v>
      </c>
      <c r="B11" s="2" t="s">
        <v>8</v>
      </c>
      <c r="D11" s="39">
        <f>SUM(D4:D10)</f>
        <v>18</v>
      </c>
      <c r="E11" s="22" t="s">
        <v>34</v>
      </c>
      <c r="J11" s="39">
        <v>0</v>
      </c>
      <c r="K11" s="2" t="s">
        <v>24</v>
      </c>
    </row>
    <row r="12" spans="1:11" x14ac:dyDescent="0.25">
      <c r="A12" s="39">
        <v>0</v>
      </c>
      <c r="B12" s="2" t="s">
        <v>43</v>
      </c>
      <c r="E12" s="2"/>
      <c r="G12" s="2" t="s">
        <v>35</v>
      </c>
      <c r="H12" s="16">
        <v>4869997151</v>
      </c>
      <c r="J12" s="39">
        <v>0</v>
      </c>
      <c r="K12" s="2" t="s">
        <v>25</v>
      </c>
    </row>
    <row r="13" spans="1:11" x14ac:dyDescent="0.25">
      <c r="A13" s="39">
        <v>0</v>
      </c>
      <c r="B13" s="2" t="s">
        <v>14</v>
      </c>
      <c r="J13" s="39">
        <v>0</v>
      </c>
      <c r="K13" s="16" t="s">
        <v>27</v>
      </c>
    </row>
    <row r="14" spans="1:11" ht="15.75" thickBot="1" x14ac:dyDescent="0.3">
      <c r="A14" s="39">
        <v>0</v>
      </c>
      <c r="B14" s="2" t="s">
        <v>13</v>
      </c>
      <c r="G14" s="17" t="s">
        <v>175</v>
      </c>
      <c r="H14" s="17"/>
      <c r="J14" s="39">
        <f>SUM(J4:J13)</f>
        <v>21</v>
      </c>
      <c r="K14" s="22" t="s">
        <v>34</v>
      </c>
    </row>
    <row r="15" spans="1:11" x14ac:dyDescent="0.25">
      <c r="A15" s="39">
        <v>0</v>
      </c>
      <c r="B15" s="2" t="s">
        <v>15</v>
      </c>
      <c r="F15" s="3"/>
      <c r="G15" s="39">
        <v>24</v>
      </c>
      <c r="H15" s="2" t="s">
        <v>28</v>
      </c>
      <c r="K15" s="2"/>
    </row>
    <row r="16" spans="1:11" x14ac:dyDescent="0.25">
      <c r="A16" s="39">
        <v>0</v>
      </c>
      <c r="B16" s="2" t="s">
        <v>186</v>
      </c>
      <c r="G16" s="39">
        <v>0</v>
      </c>
      <c r="H16" s="2" t="s">
        <v>29</v>
      </c>
      <c r="J16" s="2" t="s">
        <v>35</v>
      </c>
      <c r="K16" s="16">
        <v>8636</v>
      </c>
    </row>
    <row r="17" spans="1:9" x14ac:dyDescent="0.25">
      <c r="A17" s="39">
        <v>1</v>
      </c>
      <c r="B17" s="2" t="s">
        <v>185</v>
      </c>
      <c r="G17" s="39">
        <v>0</v>
      </c>
      <c r="H17" s="16" t="s">
        <v>187</v>
      </c>
    </row>
    <row r="18" spans="1:9" x14ac:dyDescent="0.25">
      <c r="A18" s="39">
        <v>0</v>
      </c>
      <c r="B18" s="2" t="s">
        <v>187</v>
      </c>
      <c r="G18" s="39">
        <f>SUM(G15:G17)</f>
        <v>24</v>
      </c>
      <c r="H18" s="22" t="s">
        <v>34</v>
      </c>
      <c r="I18" s="4"/>
    </row>
    <row r="19" spans="1:9" x14ac:dyDescent="0.25">
      <c r="A19" s="39">
        <v>0</v>
      </c>
      <c r="B19" s="2" t="s">
        <v>12</v>
      </c>
      <c r="I19" s="4"/>
    </row>
    <row r="20" spans="1:9" x14ac:dyDescent="0.25">
      <c r="A20" s="39">
        <v>0</v>
      </c>
      <c r="B20" s="16" t="s">
        <v>17</v>
      </c>
      <c r="I20" s="2"/>
    </row>
    <row r="21" spans="1:9" x14ac:dyDescent="0.25">
      <c r="A21" s="39">
        <f>SUM(A4:A20)</f>
        <v>39</v>
      </c>
      <c r="B21" s="22" t="s">
        <v>34</v>
      </c>
      <c r="I21" s="2"/>
    </row>
    <row r="22" spans="1:9" x14ac:dyDescent="0.25">
      <c r="I22" s="2"/>
    </row>
    <row r="24" spans="1:9" ht="15.75" thickBot="1" x14ac:dyDescent="0.3">
      <c r="A24" s="17" t="s">
        <v>124</v>
      </c>
      <c r="B24" s="5"/>
      <c r="D24" s="17" t="s">
        <v>181</v>
      </c>
      <c r="E24" s="5"/>
      <c r="H24" s="2"/>
    </row>
    <row r="25" spans="1:9" x14ac:dyDescent="0.25">
      <c r="A25" s="39">
        <v>1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174</v>
      </c>
      <c r="B27" s="5"/>
      <c r="D27" s="17" t="s">
        <v>182</v>
      </c>
      <c r="E27" s="5"/>
    </row>
    <row r="28" spans="1:9" x14ac:dyDescent="0.25">
      <c r="A28" s="44">
        <v>10</v>
      </c>
      <c r="B28" s="2" t="s">
        <v>54</v>
      </c>
      <c r="D28" s="39">
        <v>3</v>
      </c>
      <c r="E28" t="s">
        <v>1</v>
      </c>
    </row>
    <row r="34" spans="1:11" ht="15.75" thickBot="1" x14ac:dyDescent="0.3"/>
    <row r="35" spans="1:11" ht="21.75" thickBot="1" x14ac:dyDescent="0.4">
      <c r="A35" s="92" t="s">
        <v>136</v>
      </c>
      <c r="B35" s="92"/>
      <c r="C35" s="91">
        <f>C1</f>
        <v>45519</v>
      </c>
      <c r="D35" s="91"/>
      <c r="E35" s="91"/>
      <c r="G35" s="63" t="s">
        <v>173</v>
      </c>
      <c r="H35" s="64">
        <f>H1</f>
        <v>45564</v>
      </c>
      <c r="K35" s="19" t="s">
        <v>36</v>
      </c>
    </row>
    <row r="37" spans="1:11" ht="15.75" thickBot="1" x14ac:dyDescent="0.3">
      <c r="A37" s="17" t="s">
        <v>176</v>
      </c>
      <c r="B37" s="17"/>
      <c r="D37" s="17" t="s">
        <v>178</v>
      </c>
      <c r="E37" s="17"/>
      <c r="G37" s="17" t="s">
        <v>177</v>
      </c>
      <c r="H37" s="17"/>
      <c r="J37" s="18" t="s">
        <v>179</v>
      </c>
      <c r="K37" s="5"/>
    </row>
    <row r="38" spans="1:11" x14ac:dyDescent="0.25">
      <c r="A38" s="39">
        <v>1</v>
      </c>
      <c r="B38" s="2" t="s">
        <v>40</v>
      </c>
      <c r="D38" s="39">
        <v>1</v>
      </c>
      <c r="E38" s="2" t="s">
        <v>31</v>
      </c>
      <c r="G38" s="39">
        <v>4</v>
      </c>
      <c r="H38" s="2" t="s">
        <v>18</v>
      </c>
      <c r="J38" s="39">
        <v>15</v>
      </c>
      <c r="K38" s="2" t="s">
        <v>18</v>
      </c>
    </row>
    <row r="39" spans="1:11" x14ac:dyDescent="0.25">
      <c r="A39" s="39">
        <v>6</v>
      </c>
      <c r="B39" s="2" t="s">
        <v>41</v>
      </c>
      <c r="D39" s="39">
        <v>19</v>
      </c>
      <c r="E39" s="2" t="s">
        <v>30</v>
      </c>
      <c r="G39" s="39">
        <v>12</v>
      </c>
      <c r="H39" s="2" t="s">
        <v>19</v>
      </c>
      <c r="J39" s="39">
        <v>20</v>
      </c>
      <c r="K39" s="2" t="s">
        <v>19</v>
      </c>
    </row>
    <row r="40" spans="1:11" x14ac:dyDescent="0.25">
      <c r="A40" s="39">
        <v>1</v>
      </c>
      <c r="B40" s="2" t="s">
        <v>4</v>
      </c>
      <c r="D40" s="39">
        <v>2</v>
      </c>
      <c r="E40" s="2" t="s">
        <v>32</v>
      </c>
      <c r="G40" s="39">
        <v>0</v>
      </c>
      <c r="H40" s="2" t="s">
        <v>26</v>
      </c>
      <c r="J40" s="39">
        <v>0</v>
      </c>
      <c r="K40" s="2" t="s">
        <v>26</v>
      </c>
    </row>
    <row r="41" spans="1:11" x14ac:dyDescent="0.25">
      <c r="A41" s="39">
        <v>0</v>
      </c>
      <c r="B41" s="2" t="s">
        <v>5</v>
      </c>
      <c r="D41" s="39">
        <v>16</v>
      </c>
      <c r="E41" s="2" t="s">
        <v>133</v>
      </c>
      <c r="G41" s="39">
        <v>1</v>
      </c>
      <c r="H41" s="2" t="s">
        <v>20</v>
      </c>
      <c r="J41" s="39">
        <v>1</v>
      </c>
      <c r="K41" s="2" t="s">
        <v>20</v>
      </c>
    </row>
    <row r="42" spans="1:11" x14ac:dyDescent="0.25">
      <c r="A42" s="39">
        <v>10</v>
      </c>
      <c r="B42" s="2" t="s">
        <v>6</v>
      </c>
      <c r="D42" s="39">
        <v>16</v>
      </c>
      <c r="E42" s="2" t="s">
        <v>33</v>
      </c>
      <c r="G42" s="39">
        <v>0</v>
      </c>
      <c r="H42" s="2" t="s">
        <v>22</v>
      </c>
      <c r="J42" s="39">
        <v>1</v>
      </c>
      <c r="K42" s="2" t="s">
        <v>22</v>
      </c>
    </row>
    <row r="43" spans="1:11" x14ac:dyDescent="0.25">
      <c r="A43" s="39">
        <v>4</v>
      </c>
      <c r="B43" s="2" t="s">
        <v>9</v>
      </c>
      <c r="D43" s="39">
        <v>6</v>
      </c>
      <c r="E43" s="16" t="s">
        <v>9</v>
      </c>
      <c r="G43" s="39">
        <v>12</v>
      </c>
      <c r="H43" s="2" t="s">
        <v>21</v>
      </c>
      <c r="J43" s="39">
        <v>20</v>
      </c>
      <c r="K43" s="2" t="s">
        <v>21</v>
      </c>
    </row>
    <row r="44" spans="1:11" x14ac:dyDescent="0.25">
      <c r="A44" s="39">
        <v>24</v>
      </c>
      <c r="B44" s="2" t="s">
        <v>7</v>
      </c>
      <c r="D44" s="39">
        <f>SUM(D38:D43)</f>
        <v>60</v>
      </c>
      <c r="E44" s="2" t="s">
        <v>34</v>
      </c>
      <c r="G44" s="39">
        <v>0</v>
      </c>
      <c r="H44" s="2" t="s">
        <v>23</v>
      </c>
      <c r="J44" s="39">
        <v>1</v>
      </c>
      <c r="K44" s="2" t="s">
        <v>23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24</v>
      </c>
      <c r="J45" s="39">
        <v>0</v>
      </c>
      <c r="K45" s="2" t="s">
        <v>24</v>
      </c>
    </row>
    <row r="46" spans="1:11" x14ac:dyDescent="0.25">
      <c r="A46" s="39">
        <v>4</v>
      </c>
      <c r="B46" s="2" t="s">
        <v>43</v>
      </c>
      <c r="D46" s="2" t="s">
        <v>35</v>
      </c>
      <c r="E46" s="16">
        <v>4869984332</v>
      </c>
      <c r="G46" s="39">
        <v>0</v>
      </c>
      <c r="H46" s="2" t="s">
        <v>25</v>
      </c>
      <c r="J46" s="39">
        <v>0</v>
      </c>
      <c r="K46" s="2" t="s">
        <v>25</v>
      </c>
    </row>
    <row r="47" spans="1:11" x14ac:dyDescent="0.25">
      <c r="A47" s="39">
        <v>1</v>
      </c>
      <c r="B47" s="2" t="s">
        <v>14</v>
      </c>
      <c r="G47" s="39">
        <v>12</v>
      </c>
      <c r="H47" s="16" t="s">
        <v>27</v>
      </c>
      <c r="J47" s="39">
        <v>45</v>
      </c>
      <c r="K47" s="16" t="s">
        <v>27</v>
      </c>
    </row>
    <row r="48" spans="1:11" x14ac:dyDescent="0.25">
      <c r="A48" s="39">
        <v>0</v>
      </c>
      <c r="B48" s="2" t="s">
        <v>13</v>
      </c>
      <c r="G48" s="39">
        <f>SUM(G38:G47)</f>
        <v>41</v>
      </c>
      <c r="H48" s="2" t="s">
        <v>34</v>
      </c>
      <c r="J48" s="39">
        <f>SUM(J38:J47)</f>
        <v>103</v>
      </c>
      <c r="K48" s="2" t="s">
        <v>34</v>
      </c>
    </row>
    <row r="49" spans="1:11" ht="15.75" thickBot="1" x14ac:dyDescent="0.3">
      <c r="A49" s="39">
        <v>1</v>
      </c>
      <c r="B49" s="2" t="s">
        <v>15</v>
      </c>
      <c r="D49" s="17" t="s">
        <v>183</v>
      </c>
      <c r="E49" s="17"/>
      <c r="K49" s="2"/>
    </row>
    <row r="50" spans="1:11" x14ac:dyDescent="0.25">
      <c r="A50" s="39">
        <v>0</v>
      </c>
      <c r="B50" s="2" t="s">
        <v>16</v>
      </c>
      <c r="D50" s="39">
        <v>40</v>
      </c>
      <c r="E50" s="2" t="s">
        <v>28</v>
      </c>
      <c r="G50" s="2" t="s">
        <v>35</v>
      </c>
      <c r="H50" s="16">
        <v>1881</v>
      </c>
      <c r="J50" s="2" t="s">
        <v>35</v>
      </c>
      <c r="K50" s="16">
        <v>7501</v>
      </c>
    </row>
    <row r="51" spans="1:11" x14ac:dyDescent="0.25">
      <c r="A51" s="39">
        <v>0</v>
      </c>
      <c r="B51" s="2" t="s">
        <v>10</v>
      </c>
      <c r="D51" s="39">
        <v>0</v>
      </c>
      <c r="E51" s="2" t="s">
        <v>29</v>
      </c>
      <c r="F51" s="2"/>
    </row>
    <row r="52" spans="1:11" x14ac:dyDescent="0.25">
      <c r="A52" s="39">
        <v>0</v>
      </c>
      <c r="B52" s="2" t="s">
        <v>11</v>
      </c>
      <c r="D52" s="39">
        <v>0</v>
      </c>
      <c r="E52" s="16" t="s">
        <v>11</v>
      </c>
    </row>
    <row r="53" spans="1:11" x14ac:dyDescent="0.25">
      <c r="A53" s="39">
        <v>1</v>
      </c>
      <c r="B53" s="2" t="s">
        <v>12</v>
      </c>
      <c r="D53" s="39">
        <f>SUM(D50:D52)</f>
        <v>40</v>
      </c>
      <c r="E53" s="2" t="s">
        <v>34</v>
      </c>
    </row>
    <row r="54" spans="1:11" ht="15.75" thickBot="1" x14ac:dyDescent="0.3">
      <c r="A54" s="39">
        <v>0</v>
      </c>
      <c r="B54" s="16" t="s">
        <v>17</v>
      </c>
      <c r="G54" s="17" t="s">
        <v>105</v>
      </c>
      <c r="H54" s="5"/>
      <c r="J54" s="17" t="s">
        <v>180</v>
      </c>
      <c r="K54" s="5"/>
    </row>
    <row r="55" spans="1:11" x14ac:dyDescent="0.25">
      <c r="A55" s="39">
        <f>SUM(A38:A54)</f>
        <v>53</v>
      </c>
      <c r="B55" s="2" t="s">
        <v>34</v>
      </c>
      <c r="G55" s="39">
        <v>5</v>
      </c>
      <c r="H55" t="s">
        <v>54</v>
      </c>
      <c r="J55" s="39">
        <v>1</v>
      </c>
      <c r="K55" t="s">
        <v>1</v>
      </c>
    </row>
    <row r="56" spans="1:11" ht="15.75" thickBot="1" x14ac:dyDescent="0.3">
      <c r="D56" s="17" t="s">
        <v>128</v>
      </c>
      <c r="E56" s="17"/>
      <c r="G56" s="39">
        <v>3</v>
      </c>
      <c r="H56" s="16" t="s">
        <v>2</v>
      </c>
    </row>
    <row r="57" spans="1:11" x14ac:dyDescent="0.25">
      <c r="B57" s="4"/>
      <c r="D57" s="39">
        <v>24</v>
      </c>
      <c r="E57" s="2" t="s">
        <v>28</v>
      </c>
      <c r="G57" s="39">
        <f>SUM(G55:G56)</f>
        <v>8</v>
      </c>
      <c r="H57" s="2" t="s">
        <v>34</v>
      </c>
    </row>
    <row r="58" spans="1:11" x14ac:dyDescent="0.25">
      <c r="A58" s="4"/>
      <c r="B58" s="4"/>
      <c r="C58" s="4"/>
      <c r="D58" s="39">
        <v>1</v>
      </c>
      <c r="E58" s="2" t="s">
        <v>29</v>
      </c>
      <c r="I58" s="6"/>
    </row>
    <row r="59" spans="1:11" x14ac:dyDescent="0.25">
      <c r="A59" s="4"/>
      <c r="B59" s="4"/>
      <c r="C59" s="4"/>
      <c r="D59" s="39">
        <v>1</v>
      </c>
      <c r="E59" s="16" t="s">
        <v>11</v>
      </c>
      <c r="F59" s="4"/>
      <c r="I59" s="2"/>
    </row>
    <row r="60" spans="1:11" x14ac:dyDescent="0.25">
      <c r="A60" s="8"/>
      <c r="B60" s="7"/>
      <c r="C60" s="9"/>
      <c r="D60" s="39">
        <f>SUM(D57:D59)</f>
        <v>26</v>
      </c>
      <c r="E60" s="2" t="s">
        <v>34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83</v>
      </c>
    </row>
    <row r="71" spans="1:11" ht="15.75" thickBot="1" x14ac:dyDescent="0.3">
      <c r="A71" s="30" t="s">
        <v>78</v>
      </c>
      <c r="B71" s="5"/>
      <c r="C71" s="34" t="s">
        <v>134</v>
      </c>
      <c r="D71" s="30" t="s">
        <v>79</v>
      </c>
      <c r="E71" s="5"/>
      <c r="G71" s="30" t="s">
        <v>80</v>
      </c>
      <c r="H71" s="5"/>
      <c r="J71" s="30" t="s">
        <v>81</v>
      </c>
      <c r="K71" s="5"/>
    </row>
    <row r="72" spans="1:11" x14ac:dyDescent="0.25">
      <c r="A72" s="31">
        <f>A4+D4+A38</f>
        <v>2</v>
      </c>
      <c r="B72" s="2" t="s">
        <v>40</v>
      </c>
      <c r="C72" s="35">
        <f>D72*15</f>
        <v>375</v>
      </c>
      <c r="D72" s="36">
        <f t="shared" ref="D72:D81" si="0">J4+G38+J38</f>
        <v>25</v>
      </c>
      <c r="E72" s="2" t="s">
        <v>18</v>
      </c>
      <c r="G72" s="13">
        <f>G4+D38</f>
        <v>2</v>
      </c>
      <c r="H72" s="2" t="s">
        <v>44</v>
      </c>
      <c r="J72" s="13">
        <f>A9+D8+G9+A43+D43</f>
        <v>28</v>
      </c>
      <c r="K72" s="2" t="s">
        <v>9</v>
      </c>
    </row>
    <row r="73" spans="1:11" x14ac:dyDescent="0.25">
      <c r="A73" s="26">
        <f>A5+D5+A39</f>
        <v>19</v>
      </c>
      <c r="B73" s="2" t="s">
        <v>41</v>
      </c>
      <c r="C73" s="35">
        <f t="shared" ref="C73:C79" si="1">D73*15</f>
        <v>570</v>
      </c>
      <c r="D73" s="37">
        <f t="shared" si="0"/>
        <v>38</v>
      </c>
      <c r="E73" s="2" t="s">
        <v>19</v>
      </c>
      <c r="G73" s="47">
        <f>G5+G15+D50+D39+D57</f>
        <v>117</v>
      </c>
      <c r="H73" s="2" t="s">
        <v>45</v>
      </c>
      <c r="J73" s="13">
        <f>A10+D9+G8+A44+D42</f>
        <v>66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26</v>
      </c>
      <c r="G74" s="13">
        <f>G6+G16+D51+D40+D58</f>
        <v>5</v>
      </c>
      <c r="H74" s="2" t="s">
        <v>29</v>
      </c>
      <c r="J74" s="13">
        <f>A11+D10+A45</f>
        <v>6</v>
      </c>
      <c r="K74" s="2" t="s">
        <v>8</v>
      </c>
    </row>
    <row r="75" spans="1:11" x14ac:dyDescent="0.25">
      <c r="A75" s="26">
        <f>A7+D7+A41</f>
        <v>1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20</v>
      </c>
      <c r="G75" s="14">
        <f>G7+D41</f>
        <v>23</v>
      </c>
      <c r="H75" s="2" t="s">
        <v>132</v>
      </c>
      <c r="J75" s="47">
        <f>A28</f>
        <v>10</v>
      </c>
      <c r="K75" s="2" t="s">
        <v>54</v>
      </c>
    </row>
    <row r="76" spans="1:11" x14ac:dyDescent="0.25">
      <c r="A76" s="26">
        <f>A8+A42</f>
        <v>22</v>
      </c>
      <c r="B76" s="2" t="s">
        <v>6</v>
      </c>
      <c r="C76" s="35">
        <f>D76*12</f>
        <v>12</v>
      </c>
      <c r="D76" s="37">
        <f t="shared" si="0"/>
        <v>1</v>
      </c>
      <c r="E76" s="2" t="s">
        <v>22</v>
      </c>
      <c r="J76" s="13">
        <f>A12+A46</f>
        <v>4</v>
      </c>
      <c r="K76" s="2" t="s">
        <v>43</v>
      </c>
    </row>
    <row r="77" spans="1:11" x14ac:dyDescent="0.25">
      <c r="A77" s="26">
        <f>A13+A47</f>
        <v>1</v>
      </c>
      <c r="B77" s="2" t="s">
        <v>14</v>
      </c>
      <c r="C77" s="35">
        <f>D77*10</f>
        <v>400</v>
      </c>
      <c r="D77" s="37">
        <f t="shared" si="0"/>
        <v>40</v>
      </c>
      <c r="E77" s="2" t="s">
        <v>21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23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24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25</v>
      </c>
    </row>
    <row r="81" spans="1:11" x14ac:dyDescent="0.25">
      <c r="C81" s="35">
        <f>D81*8</f>
        <v>456</v>
      </c>
      <c r="D81" s="37">
        <f t="shared" si="0"/>
        <v>57</v>
      </c>
      <c r="E81" s="2" t="s">
        <v>27</v>
      </c>
    </row>
    <row r="86" spans="1:11" ht="15.75" thickBot="1" x14ac:dyDescent="0.3">
      <c r="A86" s="30" t="s">
        <v>82</v>
      </c>
      <c r="B86" s="5"/>
      <c r="F86" s="34" t="s">
        <v>134</v>
      </c>
      <c r="G86" s="30" t="s">
        <v>84</v>
      </c>
      <c r="H86" s="5"/>
      <c r="J86" s="5" t="s">
        <v>167</v>
      </c>
      <c r="K86" s="30" t="s">
        <v>166</v>
      </c>
    </row>
    <row r="87" spans="1:11" x14ac:dyDescent="0.25">
      <c r="A87" s="13">
        <f>A14+A48</f>
        <v>0</v>
      </c>
      <c r="B87" s="2" t="s">
        <v>13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40</v>
      </c>
    </row>
    <row r="88" spans="1:11" x14ac:dyDescent="0.25">
      <c r="A88" s="13">
        <f>A15+A49</f>
        <v>1</v>
      </c>
      <c r="B88" s="2" t="s">
        <v>15</v>
      </c>
      <c r="F88" s="35">
        <f t="shared" ref="F88:F90" si="2">G88*15</f>
        <v>15</v>
      </c>
      <c r="G88" s="21">
        <f>A77</f>
        <v>1</v>
      </c>
      <c r="H88" s="2" t="s">
        <v>14</v>
      </c>
      <c r="J88" s="14">
        <f>IF(MOD((A5),24)=0,(A5)/24,0)+IF(MOD((A39),24)=0,(A39)/24,0)</f>
        <v>0</v>
      </c>
      <c r="K88" t="s">
        <v>41</v>
      </c>
    </row>
    <row r="89" spans="1:11" x14ac:dyDescent="0.25">
      <c r="A89" s="13">
        <f>A16+A50</f>
        <v>0</v>
      </c>
      <c r="B89" s="2" t="s">
        <v>16</v>
      </c>
      <c r="F89" s="35">
        <f>G89*10</f>
        <v>60</v>
      </c>
      <c r="G89" s="29">
        <f>J74</f>
        <v>6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1</v>
      </c>
      <c r="B90" s="2" t="s">
        <v>10</v>
      </c>
      <c r="F90" s="35">
        <f t="shared" si="2"/>
        <v>15</v>
      </c>
      <c r="G90" s="26">
        <f>A75</f>
        <v>1</v>
      </c>
      <c r="H90" s="2" t="s">
        <v>5</v>
      </c>
      <c r="J90" s="14">
        <f>IF(MOD((G4),24)=0,(G4)/24,0)+IF(MOD((D38),24)=0,(D38)/24,0)</f>
        <v>0</v>
      </c>
      <c r="K90" s="2" t="s">
        <v>44</v>
      </c>
    </row>
    <row r="91" spans="1:11" x14ac:dyDescent="0.25">
      <c r="A91" s="13">
        <f>A18+A52+G17+D52+D59</f>
        <v>1</v>
      </c>
      <c r="B91" s="2" t="s">
        <v>11</v>
      </c>
      <c r="F91" s="35">
        <f>G91*15</f>
        <v>75</v>
      </c>
      <c r="G91" s="21">
        <f>G74</f>
        <v>5</v>
      </c>
      <c r="H91" s="2" t="s">
        <v>29</v>
      </c>
      <c r="J91" s="14">
        <f>IF(MOD((G5),24)=0,(G5)/24,0)+IF(MOD((D39),24)=0,(D39)/24,0)</f>
        <v>0</v>
      </c>
      <c r="K91" s="2" t="s">
        <v>45</v>
      </c>
    </row>
    <row r="92" spans="1:11" x14ac:dyDescent="0.25">
      <c r="A92" s="13">
        <f>A19+A53</f>
        <v>1</v>
      </c>
      <c r="B92" s="2" t="s">
        <v>12</v>
      </c>
      <c r="F92" s="35">
        <f>G92*5</f>
        <v>110</v>
      </c>
      <c r="G92" s="21">
        <f>A76</f>
        <v>22</v>
      </c>
      <c r="H92" s="2" t="s">
        <v>53</v>
      </c>
      <c r="J92" s="14">
        <f>IF(MOD((G7),13)=0,(G7)/13,0)+IF(MOD((D41),13)=0,(D41)/13,0)</f>
        <v>0</v>
      </c>
      <c r="K92" s="2" t="s">
        <v>133</v>
      </c>
    </row>
    <row r="93" spans="1:11" x14ac:dyDescent="0.25">
      <c r="A93" s="13">
        <f>A20+A54</f>
        <v>0</v>
      </c>
      <c r="B93" s="2" t="s">
        <v>17</v>
      </c>
      <c r="F93" s="35">
        <f>G93*8</f>
        <v>184</v>
      </c>
      <c r="G93" s="21">
        <f>G75</f>
        <v>23</v>
      </c>
      <c r="H93" s="2" t="s">
        <v>133</v>
      </c>
      <c r="J93" s="14">
        <f>IF(MOD((A10),24)=0,(A10)/24,0)+IF(MOD((G8),24)=0,(G8)/24,0)+IF(MOD((A44),24)=0,(A44)/24,0)+IF(MOD((D42),24)=0,(D42)/24,0)</f>
        <v>1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N27" sqref="N27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136</v>
      </c>
      <c r="B1" s="92"/>
      <c r="C1" s="91">
        <f>DATE(2024,1,1)+(Mon!B2-1)*7+4</f>
        <v>45520</v>
      </c>
      <c r="D1" s="91"/>
      <c r="E1" s="91"/>
      <c r="G1" s="63" t="s">
        <v>173</v>
      </c>
      <c r="H1" s="64">
        <f>Mon!C1+49-1</f>
        <v>45564</v>
      </c>
    </row>
    <row r="2" spans="1:14" ht="12.2" customHeight="1" x14ac:dyDescent="0.25"/>
    <row r="3" spans="1:14" ht="12.75" customHeight="1" thickBot="1" x14ac:dyDescent="0.3">
      <c r="A3" s="17" t="s">
        <v>97</v>
      </c>
      <c r="B3" s="17"/>
      <c r="D3" s="17" t="s">
        <v>55</v>
      </c>
      <c r="E3" s="17"/>
      <c r="G3" s="17" t="s">
        <v>130</v>
      </c>
      <c r="H3" s="17"/>
      <c r="J3" s="17" t="s">
        <v>64</v>
      </c>
      <c r="K3" s="27"/>
      <c r="M3" s="17" t="s">
        <v>131</v>
      </c>
      <c r="N3" s="17"/>
    </row>
    <row r="4" spans="1:14" ht="12.75" customHeight="1" x14ac:dyDescent="0.25">
      <c r="A4" s="39">
        <v>1</v>
      </c>
      <c r="B4" s="2" t="s">
        <v>40</v>
      </c>
      <c r="D4" s="39">
        <v>3</v>
      </c>
      <c r="E4" s="2" t="s">
        <v>40</v>
      </c>
      <c r="G4" s="39">
        <v>1</v>
      </c>
      <c r="H4" s="2" t="s">
        <v>40</v>
      </c>
      <c r="J4" s="39">
        <v>0</v>
      </c>
      <c r="K4" s="2" t="s">
        <v>40</v>
      </c>
      <c r="M4" s="39">
        <v>0</v>
      </c>
      <c r="N4" s="2" t="s">
        <v>40</v>
      </c>
    </row>
    <row r="5" spans="1:14" ht="12.75" customHeight="1" x14ac:dyDescent="0.25">
      <c r="A5" s="39">
        <v>24</v>
      </c>
      <c r="B5" s="2" t="s">
        <v>41</v>
      </c>
      <c r="D5" s="39">
        <v>10</v>
      </c>
      <c r="E5" s="2" t="s">
        <v>41</v>
      </c>
      <c r="G5" s="39">
        <v>12</v>
      </c>
      <c r="H5" s="2" t="s">
        <v>41</v>
      </c>
      <c r="J5" s="39">
        <v>8</v>
      </c>
      <c r="K5" s="2" t="s">
        <v>41</v>
      </c>
      <c r="M5" s="39">
        <v>0</v>
      </c>
      <c r="N5" s="2" t="s">
        <v>41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1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>
        <v>2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60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10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9</v>
      </c>
      <c r="B9" s="2" t="s">
        <v>9</v>
      </c>
      <c r="D9" s="39">
        <v>8</v>
      </c>
      <c r="E9" s="2" t="s">
        <v>9</v>
      </c>
      <c r="G9" s="39">
        <v>5</v>
      </c>
      <c r="H9" s="2" t="s">
        <v>9</v>
      </c>
      <c r="J9" s="39">
        <v>1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12</v>
      </c>
      <c r="B10" s="2" t="s">
        <v>7</v>
      </c>
      <c r="D10" s="39">
        <v>3</v>
      </c>
      <c r="E10" s="2" t="s">
        <v>7</v>
      </c>
      <c r="G10" s="39">
        <v>4</v>
      </c>
      <c r="H10" s="2" t="s">
        <v>7</v>
      </c>
      <c r="J10" s="39">
        <v>0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7</v>
      </c>
      <c r="B11" s="2" t="s">
        <v>8</v>
      </c>
      <c r="D11" s="39">
        <v>0</v>
      </c>
      <c r="E11" s="2" t="s">
        <v>8</v>
      </c>
      <c r="G11" s="39">
        <v>6</v>
      </c>
      <c r="H11" s="2" t="s">
        <v>8</v>
      </c>
      <c r="J11" s="39">
        <v>0</v>
      </c>
      <c r="K11" s="2" t="s">
        <v>193</v>
      </c>
      <c r="M11" s="39">
        <v>0</v>
      </c>
      <c r="N11" s="2" t="s">
        <v>8</v>
      </c>
    </row>
    <row r="12" spans="1:14" ht="12.75" customHeight="1" x14ac:dyDescent="0.25">
      <c r="A12" s="39">
        <v>4</v>
      </c>
      <c r="B12" s="2" t="s">
        <v>43</v>
      </c>
      <c r="D12" s="39">
        <v>0</v>
      </c>
      <c r="E12" s="2" t="s">
        <v>43</v>
      </c>
      <c r="G12" s="39">
        <v>3</v>
      </c>
      <c r="H12" s="2" t="s">
        <v>43</v>
      </c>
      <c r="J12" s="39">
        <v>2</v>
      </c>
      <c r="K12" s="16" t="s">
        <v>194</v>
      </c>
      <c r="M12" s="39">
        <v>0</v>
      </c>
      <c r="N12" s="16" t="s">
        <v>68</v>
      </c>
    </row>
    <row r="13" spans="1:14" ht="12.75" customHeight="1" x14ac:dyDescent="0.25">
      <c r="A13" s="39">
        <v>0</v>
      </c>
      <c r="B13" s="2" t="s">
        <v>14</v>
      </c>
      <c r="D13" s="39">
        <v>0</v>
      </c>
      <c r="E13" s="2" t="s">
        <v>14</v>
      </c>
      <c r="G13" s="39">
        <v>0</v>
      </c>
      <c r="H13" s="2" t="s">
        <v>14</v>
      </c>
      <c r="J13" s="39">
        <f>SUM(J4:J12)</f>
        <v>22</v>
      </c>
      <c r="K13" s="40" t="s">
        <v>34</v>
      </c>
      <c r="M13" s="39">
        <v>0</v>
      </c>
      <c r="N13" s="22" t="s">
        <v>34</v>
      </c>
    </row>
    <row r="14" spans="1:14" ht="12.75" customHeight="1" x14ac:dyDescent="0.25">
      <c r="A14" s="39">
        <v>0</v>
      </c>
      <c r="B14" s="2" t="s">
        <v>13</v>
      </c>
      <c r="D14" s="39">
        <v>0</v>
      </c>
      <c r="E14" s="2" t="s">
        <v>13</v>
      </c>
      <c r="G14" s="39">
        <v>0</v>
      </c>
      <c r="H14" s="2" t="s">
        <v>13</v>
      </c>
    </row>
    <row r="15" spans="1:14" ht="12.75" customHeight="1" x14ac:dyDescent="0.25">
      <c r="A15" s="39">
        <v>1</v>
      </c>
      <c r="B15" s="2" t="s">
        <v>15</v>
      </c>
      <c r="D15" s="39">
        <v>0</v>
      </c>
      <c r="E15" s="2" t="s">
        <v>15</v>
      </c>
      <c r="F15" s="2"/>
      <c r="G15" s="39">
        <v>0</v>
      </c>
      <c r="H15" s="2" t="s">
        <v>15</v>
      </c>
    </row>
    <row r="16" spans="1:14" ht="12.75" customHeight="1" thickBot="1" x14ac:dyDescent="0.3">
      <c r="A16" s="39">
        <v>0</v>
      </c>
      <c r="B16" s="2" t="s">
        <v>186</v>
      </c>
      <c r="D16" s="39">
        <v>0</v>
      </c>
      <c r="E16" s="2" t="s">
        <v>186</v>
      </c>
      <c r="G16" s="39">
        <v>0</v>
      </c>
      <c r="H16" s="2" t="s">
        <v>186</v>
      </c>
      <c r="J16" s="69" t="s">
        <v>60</v>
      </c>
      <c r="K16" s="73"/>
    </row>
    <row r="17" spans="1:14" ht="12.75" customHeight="1" x14ac:dyDescent="0.25">
      <c r="A17" s="39">
        <v>1</v>
      </c>
      <c r="B17" s="2" t="s">
        <v>185</v>
      </c>
      <c r="D17" s="39">
        <v>0</v>
      </c>
      <c r="E17" s="2" t="s">
        <v>185</v>
      </c>
      <c r="G17" s="39">
        <v>0</v>
      </c>
      <c r="H17" s="2" t="s">
        <v>185</v>
      </c>
      <c r="J17" s="74">
        <v>0</v>
      </c>
      <c r="K17" s="75" t="s">
        <v>43</v>
      </c>
    </row>
    <row r="18" spans="1:14" ht="12.75" customHeight="1" x14ac:dyDescent="0.25">
      <c r="A18" s="39">
        <v>2</v>
      </c>
      <c r="B18" s="2" t="s">
        <v>187</v>
      </c>
      <c r="D18" s="39">
        <v>1</v>
      </c>
      <c r="E18" s="2" t="s">
        <v>187</v>
      </c>
      <c r="G18" s="39">
        <v>1</v>
      </c>
      <c r="H18" s="2" t="s">
        <v>187</v>
      </c>
      <c r="J18" s="76"/>
      <c r="K18" s="75"/>
    </row>
    <row r="19" spans="1:14" ht="12.75" customHeight="1" thickBot="1" x14ac:dyDescent="0.3">
      <c r="A19" s="39">
        <v>1</v>
      </c>
      <c r="B19" s="2" t="s">
        <v>12</v>
      </c>
      <c r="D19" s="39">
        <v>1</v>
      </c>
      <c r="E19" s="2" t="s">
        <v>12</v>
      </c>
      <c r="G19" s="39">
        <v>0</v>
      </c>
      <c r="H19" s="2" t="s">
        <v>12</v>
      </c>
      <c r="J19" s="77" t="s">
        <v>61</v>
      </c>
      <c r="K19" s="78"/>
    </row>
    <row r="20" spans="1:14" ht="12.75" customHeight="1" x14ac:dyDescent="0.25">
      <c r="A20" s="39">
        <v>1</v>
      </c>
      <c r="B20" s="16" t="s">
        <v>66</v>
      </c>
      <c r="D20" s="39">
        <v>0</v>
      </c>
      <c r="E20" s="16" t="s">
        <v>66</v>
      </c>
      <c r="G20" s="39">
        <v>0</v>
      </c>
      <c r="H20" s="16" t="s">
        <v>66</v>
      </c>
      <c r="J20" s="74">
        <v>0</v>
      </c>
      <c r="K20" s="75" t="s">
        <v>43</v>
      </c>
    </row>
    <row r="21" spans="1:14" ht="12.75" customHeight="1" x14ac:dyDescent="0.25">
      <c r="A21" s="39">
        <f>SUM(A4:A20)</f>
        <v>126</v>
      </c>
      <c r="B21" s="22" t="s">
        <v>34</v>
      </c>
      <c r="D21" s="39">
        <f>SUM(D4:D20)</f>
        <v>48</v>
      </c>
      <c r="E21" s="22" t="s">
        <v>34</v>
      </c>
      <c r="G21" s="39">
        <f>SUM(G4:G20)</f>
        <v>73</v>
      </c>
      <c r="H21" s="22" t="s">
        <v>34</v>
      </c>
      <c r="J21" s="76"/>
      <c r="K21" s="75"/>
    </row>
    <row r="22" spans="1:14" ht="12.75" customHeight="1" thickBot="1" x14ac:dyDescent="0.3">
      <c r="J22" s="77" t="s">
        <v>62</v>
      </c>
      <c r="K22" s="78"/>
    </row>
    <row r="23" spans="1:14" ht="12.75" customHeight="1" thickBot="1" x14ac:dyDescent="0.3">
      <c r="A23" s="20" t="s">
        <v>57</v>
      </c>
      <c r="B23" s="5"/>
      <c r="D23" s="20" t="s">
        <v>190</v>
      </c>
      <c r="E23" s="5"/>
      <c r="G23" s="17" t="s">
        <v>65</v>
      </c>
      <c r="H23" s="17"/>
      <c r="J23" s="74">
        <v>5</v>
      </c>
      <c r="K23" s="75" t="s">
        <v>43</v>
      </c>
    </row>
    <row r="24" spans="1:14" ht="12.75" customHeight="1" x14ac:dyDescent="0.25">
      <c r="A24" s="39">
        <v>0</v>
      </c>
      <c r="B24" s="2" t="s">
        <v>44</v>
      </c>
      <c r="D24" s="39">
        <v>2</v>
      </c>
      <c r="E24" s="2" t="s">
        <v>44</v>
      </c>
      <c r="G24" s="39">
        <v>5</v>
      </c>
      <c r="H24" s="2" t="s">
        <v>28</v>
      </c>
      <c r="J24" s="76"/>
      <c r="K24" s="75"/>
    </row>
    <row r="25" spans="1:14" ht="12.75" customHeight="1" thickBot="1" x14ac:dyDescent="0.3">
      <c r="A25" s="39">
        <v>0</v>
      </c>
      <c r="B25" s="2" t="s">
        <v>45</v>
      </c>
      <c r="D25" s="39">
        <v>7</v>
      </c>
      <c r="E25" s="2" t="s">
        <v>45</v>
      </c>
      <c r="G25" s="39">
        <v>0</v>
      </c>
      <c r="H25" s="2" t="s">
        <v>29</v>
      </c>
      <c r="J25" s="77" t="s">
        <v>67</v>
      </c>
      <c r="K25" s="84"/>
    </row>
    <row r="26" spans="1:14" ht="12.75" customHeight="1" x14ac:dyDescent="0.25">
      <c r="A26" s="39">
        <v>1</v>
      </c>
      <c r="B26" s="2" t="s">
        <v>29</v>
      </c>
      <c r="D26" s="39">
        <v>2</v>
      </c>
      <c r="E26" s="2" t="s">
        <v>29</v>
      </c>
      <c r="G26" s="39">
        <v>0</v>
      </c>
      <c r="H26" s="16" t="s">
        <v>187</v>
      </c>
      <c r="J26" s="74">
        <v>16</v>
      </c>
      <c r="K26" s="85" t="s">
        <v>43</v>
      </c>
    </row>
    <row r="27" spans="1:14" ht="12.75" customHeight="1" x14ac:dyDescent="0.25">
      <c r="A27" s="39">
        <v>10</v>
      </c>
      <c r="B27" s="2" t="s">
        <v>133</v>
      </c>
      <c r="D27" s="39">
        <v>6</v>
      </c>
      <c r="E27" s="2" t="s">
        <v>133</v>
      </c>
      <c r="G27" s="39">
        <f>SUM(G24:G26)</f>
        <v>5</v>
      </c>
      <c r="H27" s="22" t="s">
        <v>34</v>
      </c>
      <c r="J27" s="76"/>
      <c r="K27" s="75"/>
    </row>
    <row r="28" spans="1:14" ht="12.75" customHeight="1" thickBot="1" x14ac:dyDescent="0.3">
      <c r="A28" s="39">
        <v>24</v>
      </c>
      <c r="B28" s="2" t="s">
        <v>7</v>
      </c>
      <c r="D28" s="39">
        <v>6</v>
      </c>
      <c r="E28" s="2" t="s">
        <v>7</v>
      </c>
      <c r="J28" s="77" t="s">
        <v>189</v>
      </c>
      <c r="K28" s="78"/>
    </row>
    <row r="29" spans="1:14" ht="12.75" customHeight="1" x14ac:dyDescent="0.25">
      <c r="A29" s="39">
        <v>0</v>
      </c>
      <c r="B29" s="16" t="s">
        <v>46</v>
      </c>
      <c r="D29" s="39">
        <v>4</v>
      </c>
      <c r="E29" s="16" t="s">
        <v>46</v>
      </c>
      <c r="H29" s="3"/>
      <c r="J29" s="74">
        <v>15</v>
      </c>
      <c r="K29" s="85" t="s">
        <v>43</v>
      </c>
    </row>
    <row r="30" spans="1:14" ht="12.75" customHeight="1" x14ac:dyDescent="0.25">
      <c r="A30" s="39">
        <f>SUM(A24:A29)</f>
        <v>35</v>
      </c>
      <c r="B30" s="22" t="s">
        <v>34</v>
      </c>
      <c r="D30" s="39">
        <f>SUM(D24:D29)</f>
        <v>27</v>
      </c>
      <c r="E30" s="22" t="s">
        <v>34</v>
      </c>
      <c r="J30" s="76"/>
      <c r="K30" s="75"/>
    </row>
    <row r="31" spans="1:14" ht="12.75" customHeight="1" thickBot="1" x14ac:dyDescent="0.3">
      <c r="J31" s="86" t="s">
        <v>184</v>
      </c>
      <c r="K31" s="79"/>
    </row>
    <row r="32" spans="1:14" ht="12.75" customHeight="1" x14ac:dyDescent="0.25">
      <c r="A32" s="2" t="s">
        <v>35</v>
      </c>
      <c r="B32" s="16">
        <v>48670019546</v>
      </c>
      <c r="D32" s="2" t="s">
        <v>35</v>
      </c>
      <c r="E32" s="13">
        <v>48670020022</v>
      </c>
      <c r="J32" s="87">
        <f>J17+J20+J23+J26+J29</f>
        <v>36</v>
      </c>
      <c r="K32" s="88" t="s">
        <v>43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96</v>
      </c>
      <c r="B34" s="17"/>
      <c r="D34" s="17" t="s">
        <v>129</v>
      </c>
      <c r="E34" s="5"/>
      <c r="G34" s="17" t="s">
        <v>59</v>
      </c>
      <c r="H34" s="5"/>
      <c r="J34" s="17" t="s">
        <v>63</v>
      </c>
      <c r="K34" s="5"/>
    </row>
    <row r="35" spans="1:14" ht="12.75" customHeight="1" x14ac:dyDescent="0.25">
      <c r="A35" s="39">
        <v>8</v>
      </c>
      <c r="B35" s="2" t="s">
        <v>51</v>
      </c>
      <c r="D35" s="21">
        <v>0</v>
      </c>
      <c r="E35" t="s">
        <v>1</v>
      </c>
      <c r="G35" s="39">
        <v>0</v>
      </c>
      <c r="H35" s="2" t="s">
        <v>43</v>
      </c>
      <c r="J35" s="39">
        <v>5</v>
      </c>
      <c r="K35" t="s">
        <v>0</v>
      </c>
    </row>
    <row r="36" spans="1:14" ht="12.75" customHeight="1" x14ac:dyDescent="0.25">
      <c r="A36" s="39">
        <v>1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8</v>
      </c>
      <c r="B37" s="16" t="s">
        <v>7</v>
      </c>
      <c r="C37" s="23"/>
      <c r="D37" s="17" t="s">
        <v>58</v>
      </c>
      <c r="E37" s="5"/>
      <c r="G37" s="39">
        <f>SUM(G35:G36)</f>
        <v>0</v>
      </c>
      <c r="H37" s="22" t="s">
        <v>34</v>
      </c>
    </row>
    <row r="38" spans="1:14" ht="12.75" customHeight="1" x14ac:dyDescent="0.25">
      <c r="A38" s="39">
        <f>SUM(A35:A37)</f>
        <v>17</v>
      </c>
      <c r="B38" s="22" t="s">
        <v>34</v>
      </c>
      <c r="D38" s="21">
        <v>15</v>
      </c>
      <c r="E38" t="s">
        <v>43</v>
      </c>
    </row>
    <row r="39" spans="1:14" ht="12.75" customHeight="1" x14ac:dyDescent="0.25">
      <c r="D39" s="29">
        <v>8</v>
      </c>
      <c r="E39" s="16" t="s">
        <v>53</v>
      </c>
    </row>
    <row r="40" spans="1:14" ht="21" x14ac:dyDescent="0.35">
      <c r="A40" s="19" t="s">
        <v>83</v>
      </c>
      <c r="F40" s="11">
        <f>SUM(D38:D39)</f>
        <v>23</v>
      </c>
      <c r="G40" s="2" t="s">
        <v>34</v>
      </c>
    </row>
    <row r="42" spans="1:14" ht="15.75" thickBot="1" x14ac:dyDescent="0.3">
      <c r="A42" s="30" t="s">
        <v>78</v>
      </c>
      <c r="B42" s="5"/>
      <c r="C42" s="34" t="s">
        <v>134</v>
      </c>
      <c r="D42" s="30" t="s">
        <v>79</v>
      </c>
      <c r="E42" s="5"/>
      <c r="G42" s="30" t="s">
        <v>80</v>
      </c>
      <c r="H42" s="5"/>
      <c r="J42" s="30" t="s">
        <v>81</v>
      </c>
      <c r="K42" s="5"/>
    </row>
    <row r="43" spans="1:14" x14ac:dyDescent="0.25">
      <c r="A43" s="31">
        <f>A4+D4+J4+G4+M4</f>
        <v>5</v>
      </c>
      <c r="B43" s="2" t="s">
        <v>40</v>
      </c>
      <c r="C43" s="35">
        <f>D43*15</f>
        <v>0</v>
      </c>
      <c r="D43" s="15"/>
      <c r="E43" s="2" t="s">
        <v>18</v>
      </c>
      <c r="G43" s="13">
        <f>A24+D24</f>
        <v>2</v>
      </c>
      <c r="H43" s="2" t="s">
        <v>44</v>
      </c>
      <c r="J43" s="13">
        <f>A9+D9+A29+J9+D29+G9+M9</f>
        <v>27</v>
      </c>
      <c r="K43" s="2" t="s">
        <v>9</v>
      </c>
    </row>
    <row r="44" spans="1:14" x14ac:dyDescent="0.25">
      <c r="A44" s="26">
        <f>A5+D5+J5+G5+M5</f>
        <v>54</v>
      </c>
      <c r="B44" s="2" t="s">
        <v>41</v>
      </c>
      <c r="C44" s="35">
        <f t="shared" ref="C44:C50" si="0">D44*15</f>
        <v>0</v>
      </c>
      <c r="D44" s="14"/>
      <c r="E44" s="2" t="s">
        <v>19</v>
      </c>
      <c r="G44" s="13">
        <f>A25+D25+G24</f>
        <v>12</v>
      </c>
      <c r="H44" s="2" t="s">
        <v>45</v>
      </c>
      <c r="J44" s="13">
        <f>A37+A10+A28+D10+J10+G10+M10+D28</f>
        <v>57</v>
      </c>
      <c r="K44" s="2" t="s">
        <v>7</v>
      </c>
    </row>
    <row r="45" spans="1:14" x14ac:dyDescent="0.25">
      <c r="A45" s="26">
        <f>A6+D6+J6+G6+M6</f>
        <v>2</v>
      </c>
      <c r="B45" s="2" t="s">
        <v>4</v>
      </c>
      <c r="C45" s="35">
        <f t="shared" si="0"/>
        <v>0</v>
      </c>
      <c r="D45" s="14"/>
      <c r="E45" s="2" t="s">
        <v>26</v>
      </c>
      <c r="G45" s="13">
        <f>A26+D26+G25</f>
        <v>3</v>
      </c>
      <c r="H45" s="2" t="s">
        <v>29</v>
      </c>
      <c r="J45" s="13">
        <f>A11+D11+J11+G11+M11</f>
        <v>13</v>
      </c>
      <c r="K45" s="2" t="s">
        <v>8</v>
      </c>
    </row>
    <row r="46" spans="1:14" x14ac:dyDescent="0.25">
      <c r="A46" s="26">
        <f>A7+D7+J7+G7+M7</f>
        <v>5</v>
      </c>
      <c r="B46" s="2" t="s">
        <v>5</v>
      </c>
      <c r="C46" s="35">
        <f t="shared" si="0"/>
        <v>0</v>
      </c>
      <c r="D46" s="14"/>
      <c r="E46" s="2" t="s">
        <v>20</v>
      </c>
      <c r="G46" s="14">
        <f>A27+D27</f>
        <v>16</v>
      </c>
      <c r="H46" s="2" t="s">
        <v>132</v>
      </c>
      <c r="J46" s="13"/>
      <c r="K46" s="2" t="s">
        <v>54</v>
      </c>
    </row>
    <row r="47" spans="1:14" x14ac:dyDescent="0.25">
      <c r="A47" s="26">
        <f>A8+D8+J8+G8+M8+D39</f>
        <v>138</v>
      </c>
      <c r="B47" s="2" t="s">
        <v>6</v>
      </c>
      <c r="C47" s="35">
        <f>D47*12</f>
        <v>0</v>
      </c>
      <c r="D47" s="14"/>
      <c r="E47" s="2" t="s">
        <v>22</v>
      </c>
      <c r="J47" s="13">
        <f>A35+A12+D38+J17+G35+D12+J20+J23+J12+J26+G12</f>
        <v>53</v>
      </c>
      <c r="K47" s="2" t="s">
        <v>43</v>
      </c>
    </row>
    <row r="48" spans="1:14" x14ac:dyDescent="0.25">
      <c r="A48" s="26">
        <f>A13+D13+G13</f>
        <v>0</v>
      </c>
      <c r="B48" s="2" t="s">
        <v>14</v>
      </c>
      <c r="C48" s="35">
        <f>D48*10</f>
        <v>0</v>
      </c>
      <c r="D48" s="14"/>
      <c r="E48" s="2" t="s">
        <v>21</v>
      </c>
      <c r="J48" s="13">
        <f>A36</f>
        <v>1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23</v>
      </c>
      <c r="J49" s="14">
        <f>D35+G36</f>
        <v>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24</v>
      </c>
      <c r="J50" s="14">
        <f>J35</f>
        <v>5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25</v>
      </c>
    </row>
    <row r="52" spans="1:11" x14ac:dyDescent="0.25">
      <c r="C52" s="35">
        <f>D52*8</f>
        <v>0</v>
      </c>
      <c r="D52" s="14"/>
      <c r="E52" s="2" t="s">
        <v>27</v>
      </c>
    </row>
    <row r="57" spans="1:11" ht="15.75" thickBot="1" x14ac:dyDescent="0.3">
      <c r="A57" s="30" t="s">
        <v>82</v>
      </c>
      <c r="B57" s="5"/>
      <c r="F57" s="34" t="s">
        <v>134</v>
      </c>
      <c r="G57" s="30" t="s">
        <v>84</v>
      </c>
      <c r="H57" s="5"/>
      <c r="J57" s="5" t="s">
        <v>167</v>
      </c>
      <c r="K57" s="30" t="s">
        <v>166</v>
      </c>
    </row>
    <row r="58" spans="1:11" x14ac:dyDescent="0.25">
      <c r="A58" s="13">
        <f>A14+D14+G14</f>
        <v>0</v>
      </c>
      <c r="B58" s="2" t="s">
        <v>13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40</v>
      </c>
    </row>
    <row r="59" spans="1:11" x14ac:dyDescent="0.25">
      <c r="A59" s="13">
        <f>A15+D15+G15</f>
        <v>1</v>
      </c>
      <c r="B59" s="2" t="s">
        <v>15</v>
      </c>
      <c r="F59" s="35">
        <f t="shared" ref="F59:F61" si="1">G59*15</f>
        <v>0</v>
      </c>
      <c r="G59" s="21">
        <f>A48</f>
        <v>0</v>
      </c>
      <c r="H59" s="2" t="s">
        <v>14</v>
      </c>
      <c r="J59" s="14">
        <f>IF(MOD((A5),24)=0,(A5)/24,0)+IF(MOD((D5),24)=0,(D5)/24,0)+IF(MOD((G5),24)=0,(G5)/24,0)</f>
        <v>1</v>
      </c>
      <c r="K59" t="s">
        <v>41</v>
      </c>
    </row>
    <row r="60" spans="1:11" x14ac:dyDescent="0.25">
      <c r="A60" s="13">
        <f>A16+D16+G16</f>
        <v>0</v>
      </c>
      <c r="B60" s="2" t="s">
        <v>16</v>
      </c>
      <c r="F60" s="35">
        <f>G60*10</f>
        <v>130</v>
      </c>
      <c r="G60" s="29">
        <f>J45</f>
        <v>13</v>
      </c>
      <c r="H60" s="2" t="s">
        <v>8</v>
      </c>
      <c r="J60" s="13">
        <f>IF(MOD((A8),20)=0,(A8)/20,0)+IF(MOD((D8),20)=0,(D8)/20,0)+IF(MOD((G8),20)=0,(G8)/20,0)</f>
        <v>6</v>
      </c>
      <c r="K60" s="2" t="s">
        <v>6</v>
      </c>
    </row>
    <row r="61" spans="1:11" x14ac:dyDescent="0.25">
      <c r="A61" s="13">
        <f>A17+D17+G17</f>
        <v>1</v>
      </c>
      <c r="B61" s="2" t="s">
        <v>10</v>
      </c>
      <c r="F61" s="35">
        <f t="shared" si="1"/>
        <v>75</v>
      </c>
      <c r="G61" s="26">
        <f>A46</f>
        <v>5</v>
      </c>
      <c r="H61" s="2" t="s">
        <v>5</v>
      </c>
      <c r="J61" s="14">
        <f>IF(MOD((A24),24)=0,(A24)/24,0)+IF(MOD((D24),24)=0,(D24)/24,0)</f>
        <v>0</v>
      </c>
      <c r="K61" s="2" t="s">
        <v>44</v>
      </c>
    </row>
    <row r="62" spans="1:11" x14ac:dyDescent="0.25">
      <c r="A62" s="13">
        <f>A18+D18+G18+G26+M12</f>
        <v>4</v>
      </c>
      <c r="B62" s="2" t="s">
        <v>11</v>
      </c>
      <c r="F62" s="35">
        <f>G62*15</f>
        <v>45</v>
      </c>
      <c r="G62" s="21">
        <f>G45</f>
        <v>3</v>
      </c>
      <c r="H62" s="2" t="s">
        <v>29</v>
      </c>
      <c r="J62" s="14">
        <f>IF(MOD((A25),24)=0,(A25)/24,0)+IF(MOD((D25),24)=0,(D25)/24,0)</f>
        <v>0</v>
      </c>
      <c r="K62" s="2" t="s">
        <v>45</v>
      </c>
    </row>
    <row r="63" spans="1:11" x14ac:dyDescent="0.25">
      <c r="A63" s="13">
        <f>A19+D19+G19</f>
        <v>2</v>
      </c>
      <c r="B63" s="2" t="s">
        <v>12</v>
      </c>
      <c r="F63" s="35">
        <f>G63*5</f>
        <v>690</v>
      </c>
      <c r="G63" s="21">
        <f>A47</f>
        <v>138</v>
      </c>
      <c r="H63" s="2" t="s">
        <v>53</v>
      </c>
      <c r="J63" s="14">
        <f>IF(MOD((A27),13)=0,(A27)/13,0)+IF(MOD((D27),13)=0,(D27)/13,0)</f>
        <v>0</v>
      </c>
      <c r="K63" s="2" t="s">
        <v>133</v>
      </c>
    </row>
    <row r="64" spans="1:11" x14ac:dyDescent="0.25">
      <c r="A64" s="13">
        <f>A20+D20+G20</f>
        <v>1</v>
      </c>
      <c r="B64" s="2" t="s">
        <v>17</v>
      </c>
      <c r="F64" s="35">
        <f>G64*8</f>
        <v>128</v>
      </c>
      <c r="G64" s="21">
        <f>G46</f>
        <v>16</v>
      </c>
      <c r="H64" s="2" t="s">
        <v>133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20" sqref="E20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140</v>
      </c>
      <c r="B1" s="92"/>
      <c r="C1" s="45">
        <f>Mon!B2+1</f>
        <v>34</v>
      </c>
      <c r="D1" s="46"/>
      <c r="E1" s="46"/>
      <c r="F1" s="63" t="s">
        <v>173</v>
      </c>
      <c r="G1" s="64">
        <f>Mon!C1+49-1</f>
        <v>45564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139</v>
      </c>
      <c r="B4" s="17" t="s">
        <v>138</v>
      </c>
      <c r="C4" s="17"/>
      <c r="D4" s="42"/>
      <c r="E4" s="34" t="s">
        <v>139</v>
      </c>
      <c r="F4" s="17" t="s">
        <v>141</v>
      </c>
      <c r="G4" s="17"/>
      <c r="I4" s="34" t="s">
        <v>139</v>
      </c>
      <c r="J4" s="17" t="s">
        <v>142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54</v>
      </c>
      <c r="D5" s="42"/>
      <c r="E5" s="35">
        <f>F5/48</f>
        <v>0</v>
      </c>
      <c r="F5" s="39"/>
      <c r="G5" s="2" t="s">
        <v>54</v>
      </c>
      <c r="I5" s="35">
        <f>J5/48</f>
        <v>1</v>
      </c>
      <c r="J5" s="39">
        <v>48</v>
      </c>
      <c r="K5" s="2" t="s">
        <v>54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2</v>
      </c>
      <c r="J7" s="39">
        <v>96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76</v>
      </c>
      <c r="D9" s="42"/>
      <c r="E9" s="35">
        <f t="shared" si="1"/>
        <v>0</v>
      </c>
      <c r="F9" s="39"/>
      <c r="G9" s="2" t="s">
        <v>76</v>
      </c>
      <c r="I9" s="35">
        <f t="shared" si="2"/>
        <v>3</v>
      </c>
      <c r="J9" s="39">
        <v>144</v>
      </c>
      <c r="K9" s="2" t="s">
        <v>76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13</v>
      </c>
      <c r="B12" s="44">
        <f>SUM(B5:B11)</f>
        <v>624</v>
      </c>
      <c r="C12" s="22" t="s">
        <v>34</v>
      </c>
      <c r="E12" s="35">
        <f t="shared" si="1"/>
        <v>1</v>
      </c>
      <c r="F12" s="44">
        <f>SUM(F5:F11)</f>
        <v>48</v>
      </c>
      <c r="G12" s="22" t="s">
        <v>34</v>
      </c>
      <c r="I12" s="35">
        <f t="shared" si="2"/>
        <v>11</v>
      </c>
      <c r="J12" s="44">
        <f>SUM(J5:J11)</f>
        <v>528</v>
      </c>
      <c r="K12" s="22" t="s">
        <v>34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83</v>
      </c>
    </row>
    <row r="42" spans="1:14" ht="15.75" thickBot="1" x14ac:dyDescent="0.3">
      <c r="A42" s="30" t="s">
        <v>78</v>
      </c>
      <c r="B42" s="5"/>
      <c r="C42" s="34" t="s">
        <v>134</v>
      </c>
      <c r="D42" s="30" t="s">
        <v>79</v>
      </c>
      <c r="E42" s="5"/>
      <c r="G42" s="30" t="s">
        <v>80</v>
      </c>
      <c r="H42" s="5"/>
      <c r="J42" s="30" t="s">
        <v>81</v>
      </c>
      <c r="K42" s="5"/>
    </row>
    <row r="43" spans="1:14" x14ac:dyDescent="0.25">
      <c r="A43" s="31"/>
      <c r="B43" s="2" t="s">
        <v>40</v>
      </c>
      <c r="C43" s="35">
        <f>D43*15</f>
        <v>0</v>
      </c>
      <c r="D43" s="15"/>
      <c r="E43" s="2" t="s">
        <v>18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41</v>
      </c>
      <c r="C44" s="35">
        <f t="shared" ref="C44:C50" si="3">D44*15</f>
        <v>0</v>
      </c>
      <c r="D44" s="14"/>
      <c r="E44" s="2" t="s">
        <v>19</v>
      </c>
      <c r="G44" s="13"/>
      <c r="H44" s="2" t="s">
        <v>45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26</v>
      </c>
      <c r="G45" s="13"/>
      <c r="H45" s="2" t="s">
        <v>29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20</v>
      </c>
      <c r="G46" s="14"/>
      <c r="H46" s="2" t="s">
        <v>132</v>
      </c>
      <c r="J46" s="47">
        <f>B5+F5+J5</f>
        <v>96</v>
      </c>
      <c r="K46" s="2" t="s">
        <v>54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22</v>
      </c>
      <c r="J47" s="47">
        <f t="shared" ref="J47:J48" si="4">B6+F6+J6</f>
        <v>600</v>
      </c>
      <c r="K47" s="2" t="s">
        <v>43</v>
      </c>
    </row>
    <row r="48" spans="1:14" x14ac:dyDescent="0.25">
      <c r="A48" s="26"/>
      <c r="B48" s="2" t="s">
        <v>14</v>
      </c>
      <c r="C48" s="35">
        <f>D48*10</f>
        <v>0</v>
      </c>
      <c r="D48" s="14"/>
      <c r="E48" s="2" t="s">
        <v>21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23</v>
      </c>
      <c r="J49" s="48">
        <f>B10+F10+J10</f>
        <v>168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24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25</v>
      </c>
    </row>
    <row r="52" spans="1:11" x14ac:dyDescent="0.25">
      <c r="C52" s="35">
        <f>D52*8</f>
        <v>0</v>
      </c>
      <c r="D52" s="14"/>
      <c r="E52" s="2" t="s">
        <v>27</v>
      </c>
    </row>
    <row r="57" spans="1:11" ht="15.75" thickBot="1" x14ac:dyDescent="0.3">
      <c r="A57" s="30" t="s">
        <v>82</v>
      </c>
      <c r="B57" s="5"/>
      <c r="F57" s="34" t="s">
        <v>134</v>
      </c>
      <c r="G57" s="30" t="s">
        <v>84</v>
      </c>
      <c r="H57" s="5"/>
    </row>
    <row r="58" spans="1:11" x14ac:dyDescent="0.25">
      <c r="A58" s="13"/>
      <c r="B58" s="2" t="s">
        <v>13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15</v>
      </c>
      <c r="F59" s="35">
        <f t="shared" ref="F59:F61" si="5">G59*15</f>
        <v>0</v>
      </c>
      <c r="G59" s="21">
        <f>A48</f>
        <v>0</v>
      </c>
      <c r="H59" s="2" t="s">
        <v>14</v>
      </c>
    </row>
    <row r="60" spans="1:11" x14ac:dyDescent="0.25">
      <c r="A60" s="13"/>
      <c r="B60" s="2" t="s">
        <v>16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10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11</v>
      </c>
      <c r="F62" s="35">
        <f>G62*15</f>
        <v>0</v>
      </c>
      <c r="G62" s="21">
        <f>G45</f>
        <v>0</v>
      </c>
      <c r="H62" s="2" t="s">
        <v>29</v>
      </c>
    </row>
    <row r="63" spans="1:11" x14ac:dyDescent="0.25">
      <c r="A63" s="13"/>
      <c r="B63" s="2" t="s">
        <v>12</v>
      </c>
      <c r="F63" s="35">
        <f>G63*5</f>
        <v>0</v>
      </c>
      <c r="G63" s="21">
        <f>A47</f>
        <v>0</v>
      </c>
      <c r="H63" s="2" t="s">
        <v>53</v>
      </c>
    </row>
    <row r="64" spans="1:11" x14ac:dyDescent="0.25">
      <c r="A64" s="13"/>
      <c r="B64" s="2" t="s">
        <v>17</v>
      </c>
      <c r="F64" s="35">
        <f>G64*8</f>
        <v>0</v>
      </c>
      <c r="G64" s="21">
        <f>G46</f>
        <v>0</v>
      </c>
      <c r="H64" s="2" t="s">
        <v>133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143</v>
      </c>
      <c r="B1" s="92"/>
      <c r="C1" s="45">
        <f>Mon!B2</f>
        <v>33</v>
      </c>
      <c r="D1" s="46"/>
      <c r="E1" s="46"/>
      <c r="N1" t="s">
        <v>160</v>
      </c>
      <c r="R1" t="s">
        <v>152</v>
      </c>
    </row>
    <row r="2" spans="1:24" ht="12.2" customHeight="1" x14ac:dyDescent="0.25">
      <c r="N2" s="56" t="s">
        <v>153</v>
      </c>
      <c r="O2" s="54" t="s">
        <v>154</v>
      </c>
      <c r="P2" s="54" t="s">
        <v>155</v>
      </c>
      <c r="R2" s="51"/>
      <c r="S2" s="51" t="s">
        <v>172</v>
      </c>
      <c r="T2" s="51" t="s">
        <v>144</v>
      </c>
      <c r="U2" s="51" t="s">
        <v>145</v>
      </c>
      <c r="V2" s="51" t="s">
        <v>146</v>
      </c>
      <c r="W2" s="51" t="s">
        <v>149</v>
      </c>
      <c r="X2" s="51" t="s">
        <v>150</v>
      </c>
    </row>
    <row r="3" spans="1:24" ht="12.75" customHeight="1" thickBot="1" x14ac:dyDescent="0.3">
      <c r="A3" s="30" t="s">
        <v>78</v>
      </c>
      <c r="B3" s="5"/>
      <c r="C3" s="24"/>
      <c r="D3" s="30" t="s">
        <v>79</v>
      </c>
      <c r="E3" s="5"/>
      <c r="G3" s="30" t="s">
        <v>80</v>
      </c>
      <c r="H3" s="5"/>
      <c r="J3" s="30" t="s">
        <v>81</v>
      </c>
      <c r="K3" s="5"/>
      <c r="M3" s="22"/>
      <c r="N3" s="52" t="s">
        <v>9</v>
      </c>
      <c r="O3" s="53">
        <f>J4*12</f>
        <v>1632</v>
      </c>
      <c r="P3" s="53">
        <f>O3/125</f>
        <v>13.055999999999999</v>
      </c>
      <c r="R3" s="51" t="s">
        <v>147</v>
      </c>
      <c r="S3" s="55">
        <f>12*(D8+J4)</f>
        <v>1656</v>
      </c>
      <c r="T3" s="55">
        <f>15*(A4+D4+G4+J7+J5)+20*D12</f>
        <v>9470</v>
      </c>
      <c r="U3" s="55">
        <f>15*(A5+A9+D5+D9+D10+D11+G5+J6+J8+J10)+20*(A8+D13+G7)</f>
        <v>33370</v>
      </c>
      <c r="V3" s="55">
        <f>15*(A6+J11)</f>
        <v>1710</v>
      </c>
      <c r="W3" s="55">
        <f>15*D6</f>
        <v>0</v>
      </c>
      <c r="X3" s="55">
        <f>15*(A7+D7+G6+J9)</f>
        <v>2550</v>
      </c>
    </row>
    <row r="4" spans="1:24" ht="12.75" customHeight="1" x14ac:dyDescent="0.25">
      <c r="A4" s="31">
        <f>Mon!A70+Tues!A43+Wed!A42+Thurs!A72+Fri!A43+NFLD!A43</f>
        <v>29</v>
      </c>
      <c r="B4" s="2" t="s">
        <v>40</v>
      </c>
      <c r="C4" s="7"/>
      <c r="D4" s="31">
        <f>Mon!D70+Tues!D43+Wed!D42+Thurs!D72+Fri!D43+NFLD!D43</f>
        <v>41</v>
      </c>
      <c r="E4" s="2" t="s">
        <v>18</v>
      </c>
      <c r="F4" s="7"/>
      <c r="G4" s="31">
        <f>Mon!G70+Tues!G43+Wed!G42+Thurs!G72+Fri!G43+NFLD!G43</f>
        <v>11</v>
      </c>
      <c r="H4" s="2" t="s">
        <v>44</v>
      </c>
      <c r="I4" s="7"/>
      <c r="J4" s="31">
        <f>Mon!J70+Tues!J43+Wed!J42+Thurs!J72+Fri!J43+NFLD!J43</f>
        <v>136</v>
      </c>
      <c r="K4" s="2" t="s">
        <v>9</v>
      </c>
      <c r="M4" s="42"/>
      <c r="N4" s="52" t="s">
        <v>7</v>
      </c>
      <c r="O4" s="53">
        <f>J5*10</f>
        <v>4140</v>
      </c>
      <c r="P4" s="53">
        <f>O4/130</f>
        <v>31.846153846153847</v>
      </c>
      <c r="R4" s="51" t="s">
        <v>148</v>
      </c>
      <c r="S4" s="55">
        <f t="shared" ref="S4:X4" si="0">S3/15</f>
        <v>110.4</v>
      </c>
      <c r="T4" s="55">
        <f t="shared" si="0"/>
        <v>631.33333333333337</v>
      </c>
      <c r="U4" s="55">
        <f t="shared" si="0"/>
        <v>2224.6666666666665</v>
      </c>
      <c r="V4" s="55">
        <f t="shared" si="0"/>
        <v>114</v>
      </c>
      <c r="W4" s="55">
        <f t="shared" si="0"/>
        <v>0</v>
      </c>
      <c r="X4" s="55">
        <f t="shared" si="0"/>
        <v>170</v>
      </c>
    </row>
    <row r="5" spans="1:24" ht="12.75" customHeight="1" x14ac:dyDescent="0.25">
      <c r="A5" s="26">
        <f>Mon!A71+Tues!A44+Wed!A43+Thurs!A73+Fri!A44+NFLD!A44</f>
        <v>175</v>
      </c>
      <c r="B5" s="2" t="s">
        <v>41</v>
      </c>
      <c r="C5" s="24"/>
      <c r="D5" s="26">
        <f>Mon!D71+Tues!D44+Wed!D43+Thurs!D73+Fri!D44+NFLD!D44</f>
        <v>71</v>
      </c>
      <c r="E5" s="2" t="s">
        <v>19</v>
      </c>
      <c r="G5" s="26">
        <f>Mon!G71+Tues!G44+Wed!G43+Thurs!G73+Fri!G44+NFLD!G44</f>
        <v>232</v>
      </c>
      <c r="H5" s="2" t="s">
        <v>45</v>
      </c>
      <c r="J5" s="26">
        <f>Mon!J71+Tues!J44+Wed!J43+Thurs!J73+Fri!J44+NFLD!J44</f>
        <v>414</v>
      </c>
      <c r="K5" s="2" t="s">
        <v>7</v>
      </c>
      <c r="M5" s="42"/>
      <c r="N5" s="52" t="s">
        <v>8</v>
      </c>
      <c r="O5" s="53">
        <f>J6*10</f>
        <v>240</v>
      </c>
      <c r="P5" s="53">
        <f t="shared" ref="P5:P25" si="1">O5/130</f>
        <v>1.8461538461538463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6</v>
      </c>
      <c r="B6" s="2" t="s">
        <v>4</v>
      </c>
      <c r="C6" s="24"/>
      <c r="D6" s="26">
        <f>Mon!D72+Tues!D45+Wed!D44+Thurs!D74+Fri!D45+NFLD!D45</f>
        <v>0</v>
      </c>
      <c r="E6" s="2" t="s">
        <v>26</v>
      </c>
      <c r="G6" s="26">
        <f>Mon!G72+Tues!G45+Wed!G44+Thurs!G74+Fri!G45+NFLD!G45</f>
        <v>13</v>
      </c>
      <c r="H6" s="2" t="s">
        <v>29</v>
      </c>
      <c r="J6" s="26">
        <f>Mon!J72+Tues!J45+Wed!J44+Thurs!J74+Fri!J45+NFLD!J45</f>
        <v>24</v>
      </c>
      <c r="K6" s="2" t="s">
        <v>8</v>
      </c>
      <c r="M6" s="42"/>
      <c r="N6" s="52" t="s">
        <v>54</v>
      </c>
      <c r="O6" s="53">
        <f>J7*15</f>
        <v>1965</v>
      </c>
      <c r="P6" s="53">
        <f>O6/150</f>
        <v>13.1</v>
      </c>
    </row>
    <row r="7" spans="1:24" ht="12.75" customHeight="1" x14ac:dyDescent="0.25">
      <c r="A7" s="26">
        <f>Mon!A73+Tues!A46+Wed!A45+Thurs!A75+Fri!A46+NFLD!A46</f>
        <v>42</v>
      </c>
      <c r="B7" s="2" t="s">
        <v>5</v>
      </c>
      <c r="C7" s="24"/>
      <c r="D7" s="26">
        <f>Mon!D73+Tues!D46+Wed!D45+Thurs!D75+Fri!D46+NFLD!D46</f>
        <v>6</v>
      </c>
      <c r="E7" s="2" t="s">
        <v>20</v>
      </c>
      <c r="G7" s="26">
        <f>Mon!G73+Tues!G46+Wed!G45+Thurs!G75+Fri!G46+NFLD!G46</f>
        <v>80</v>
      </c>
      <c r="H7" s="2" t="s">
        <v>132</v>
      </c>
      <c r="J7" s="26">
        <f>Mon!J73+Tues!J46+Wed!J45+Thurs!J75+Fri!J46+NFLD!J46</f>
        <v>131</v>
      </c>
      <c r="K7" s="2" t="s">
        <v>54</v>
      </c>
      <c r="M7" s="42"/>
      <c r="N7" s="52" t="s">
        <v>43</v>
      </c>
      <c r="O7" s="53">
        <f t="shared" ref="O7" si="2">J8*15</f>
        <v>11400</v>
      </c>
      <c r="P7" s="53">
        <f t="shared" ref="P7:P8" si="3">O7/150</f>
        <v>76</v>
      </c>
      <c r="R7" s="12" t="s">
        <v>135</v>
      </c>
      <c r="S7" s="60">
        <f>Mon!B2</f>
        <v>33</v>
      </c>
    </row>
    <row r="8" spans="1:24" ht="12.75" customHeight="1" x14ac:dyDescent="0.25">
      <c r="A8" s="26">
        <f>Mon!A74+Tues!A47+Wed!A46+Thurs!A76+Fri!A47+NFLD!A47</f>
        <v>318</v>
      </c>
      <c r="B8" s="2" t="s">
        <v>6</v>
      </c>
      <c r="C8" s="24"/>
      <c r="D8" s="26">
        <f>Mon!D74+Tues!D47+Wed!D46+Thurs!D76+Fri!D47+NFLD!D47</f>
        <v>2</v>
      </c>
      <c r="E8" s="2" t="s">
        <v>22</v>
      </c>
      <c r="J8" s="26">
        <f>Mon!J74+Tues!J47+Wed!J46+Thurs!J76+Fri!J47+NFLD!J47</f>
        <v>760</v>
      </c>
      <c r="K8" s="2" t="s">
        <v>43</v>
      </c>
      <c r="M8" s="42"/>
      <c r="N8" s="52" t="s">
        <v>2</v>
      </c>
      <c r="O8" s="53">
        <f>J9*15</f>
        <v>1635</v>
      </c>
      <c r="P8" s="53">
        <f t="shared" si="3"/>
        <v>10.9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</v>
      </c>
      <c r="B9" s="2" t="s">
        <v>14</v>
      </c>
      <c r="C9" s="24"/>
      <c r="D9" s="26">
        <f>Mon!D75+Tues!D48+Wed!D47+Thurs!D77+Fri!D48+NFLD!D48</f>
        <v>75</v>
      </c>
      <c r="E9" s="2" t="s">
        <v>21</v>
      </c>
      <c r="J9" s="26">
        <f>Mon!J75+Tues!J48+Wed!J47+Thurs!J77+Fri!J48+NFLD!J48</f>
        <v>109</v>
      </c>
      <c r="K9" s="2" t="s">
        <v>2</v>
      </c>
      <c r="M9" s="42"/>
      <c r="N9" s="52" t="s">
        <v>151</v>
      </c>
      <c r="O9" s="53">
        <f>7*(J10+J11)+8*(D12+D13+G7)+5*A9</f>
        <v>3761</v>
      </c>
      <c r="P9" s="53">
        <f>O9/140</f>
        <v>26.864285714285714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23</v>
      </c>
      <c r="J10" s="26">
        <f>Mon!J76+Tues!J49+Wed!J48+Thurs!J78+Fri!J49+NFLD!J49</f>
        <v>205</v>
      </c>
      <c r="K10" s="2" t="s">
        <v>1</v>
      </c>
      <c r="M10" s="42"/>
      <c r="N10" s="52" t="s">
        <v>40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24</v>
      </c>
      <c r="J11" s="26">
        <f>Mon!J77+Tues!J50+Wed!J49+Thurs!J79+Fri!J50+NFLD!J50</f>
        <v>108</v>
      </c>
      <c r="K11" s="2" t="s">
        <v>0</v>
      </c>
      <c r="M11" s="42"/>
      <c r="N11" s="52" t="s">
        <v>41</v>
      </c>
      <c r="O11" s="53">
        <f t="shared" ref="O11:O12" si="4">A5*15</f>
        <v>2625</v>
      </c>
      <c r="P11" s="53">
        <f t="shared" ref="P11:P13" si="5">O11/250</f>
        <v>10.5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4</v>
      </c>
      <c r="E12" s="2" t="s">
        <v>25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111</v>
      </c>
      <c r="E13" s="2" t="s">
        <v>27</v>
      </c>
      <c r="M13" s="42"/>
      <c r="N13" s="52" t="s">
        <v>5</v>
      </c>
      <c r="O13" s="53">
        <f>A7*15</f>
        <v>630</v>
      </c>
      <c r="P13" s="53">
        <f t="shared" si="5"/>
        <v>2.52</v>
      </c>
      <c r="S13" s="59"/>
    </row>
    <row r="14" spans="1:24" ht="12.75" customHeight="1" x14ac:dyDescent="0.25">
      <c r="A14" s="7"/>
      <c r="N14" s="52" t="s">
        <v>156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14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82</v>
      </c>
      <c r="B16" s="5"/>
      <c r="D16" s="30" t="s">
        <v>84</v>
      </c>
      <c r="E16" s="5"/>
      <c r="G16" s="5" t="s">
        <v>167</v>
      </c>
      <c r="H16" s="30" t="s">
        <v>166</v>
      </c>
      <c r="M16" s="22"/>
      <c r="N16" s="52" t="s">
        <v>44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Mon!A85+Tues!A58+Wed!A57+Thurs!A87+Fri!A58+NFLD!A58</f>
        <v>5</v>
      </c>
      <c r="B17" s="2" t="s">
        <v>13</v>
      </c>
      <c r="D17" s="26">
        <f>A6</f>
        <v>6</v>
      </c>
      <c r="E17" s="2" t="s">
        <v>4</v>
      </c>
      <c r="G17" s="15">
        <f>Mon!J85+Tues!J58+Thurs!J87+Fri!J58</f>
        <v>0</v>
      </c>
      <c r="H17" t="s">
        <v>40</v>
      </c>
      <c r="M17" s="42"/>
      <c r="N17" s="52" t="s">
        <v>45</v>
      </c>
      <c r="O17" s="53">
        <f t="shared" ref="O17:O18" si="7">15*G5</f>
        <v>3480</v>
      </c>
      <c r="P17" s="53">
        <f t="shared" si="6"/>
        <v>13.92</v>
      </c>
    </row>
    <row r="18" spans="1:24" ht="12.75" customHeight="1" x14ac:dyDescent="0.25">
      <c r="A18" s="26">
        <f>Mon!A86+Tues!A59+Wed!A58+Thurs!A88+Fri!A59+NFLD!A59</f>
        <v>8</v>
      </c>
      <c r="B18" s="2" t="s">
        <v>15</v>
      </c>
      <c r="D18" s="21">
        <f>A9</f>
        <v>2</v>
      </c>
      <c r="E18" s="2" t="s">
        <v>14</v>
      </c>
      <c r="F18" s="24"/>
      <c r="G18" s="14">
        <f>Mon!J86+Tues!J59+Thurs!J88+Fri!J59</f>
        <v>1</v>
      </c>
      <c r="H18" t="s">
        <v>41</v>
      </c>
      <c r="N18" s="52" t="s">
        <v>29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Mon!A87+Tues!A60+Wed!A59+Thurs!A89+Fri!A60+NFLD!A60</f>
        <v>6</v>
      </c>
      <c r="B19" s="2" t="s">
        <v>16</v>
      </c>
      <c r="D19" s="29">
        <f>J6</f>
        <v>24</v>
      </c>
      <c r="E19" s="2" t="s">
        <v>8</v>
      </c>
      <c r="F19" s="24"/>
      <c r="G19" s="14">
        <f>Mon!J87+Tues!J60+Thurs!J89+Fri!J60</f>
        <v>8</v>
      </c>
      <c r="H19" s="2" t="s">
        <v>6</v>
      </c>
      <c r="N19" s="52" t="s">
        <v>157</v>
      </c>
      <c r="O19" s="53">
        <f>8*G7</f>
        <v>640</v>
      </c>
      <c r="P19" s="53">
        <f>O19/50</f>
        <v>12.8</v>
      </c>
    </row>
    <row r="20" spans="1:24" ht="12.75" customHeight="1" x14ac:dyDescent="0.25">
      <c r="A20" s="26">
        <f>Mon!A88+Tues!A61+Wed!A60+Thurs!A90+Fri!A61+NFLD!A61</f>
        <v>5</v>
      </c>
      <c r="B20" s="2" t="s">
        <v>10</v>
      </c>
      <c r="D20" s="26">
        <f>A7</f>
        <v>42</v>
      </c>
      <c r="E20" s="2" t="s">
        <v>5</v>
      </c>
      <c r="F20" s="24"/>
      <c r="G20" s="14">
        <f>Mon!J88+Tues!J61+Thurs!J90+Fri!J61</f>
        <v>0</v>
      </c>
      <c r="H20" s="2" t="s">
        <v>44</v>
      </c>
      <c r="N20" s="52" t="s">
        <v>18</v>
      </c>
      <c r="O20" s="53">
        <f>15*D4</f>
        <v>615</v>
      </c>
      <c r="P20" s="53">
        <f>O20/150</f>
        <v>4.0999999999999996</v>
      </c>
    </row>
    <row r="21" spans="1:24" ht="12.75" customHeight="1" x14ac:dyDescent="0.25">
      <c r="A21" s="26">
        <f>Mon!A89+Tues!A62+Wed!A61+Thurs!A91+Fri!A62+NFLD!A62</f>
        <v>9</v>
      </c>
      <c r="B21" s="2" t="s">
        <v>11</v>
      </c>
      <c r="D21" s="21">
        <f>G6</f>
        <v>13</v>
      </c>
      <c r="E21" s="2" t="s">
        <v>29</v>
      </c>
      <c r="F21" s="24"/>
      <c r="G21" s="14">
        <f>Mon!J89+Tues!J62+Thurs!J91+Fri!J62</f>
        <v>0</v>
      </c>
      <c r="H21" s="2" t="s">
        <v>45</v>
      </c>
      <c r="N21" s="52" t="s">
        <v>19</v>
      </c>
      <c r="O21" s="53">
        <f t="shared" ref="O21:O23" si="8">15*D5</f>
        <v>1065</v>
      </c>
      <c r="P21" s="53">
        <f t="shared" ref="P21:P23" si="9">O21/150</f>
        <v>7.1</v>
      </c>
    </row>
    <row r="22" spans="1:24" ht="12.75" customHeight="1" x14ac:dyDescent="0.25">
      <c r="A22" s="26">
        <f>Mon!A90+Tues!A63+Wed!A62+Thurs!A92+Fri!A63+NFLD!A63</f>
        <v>8</v>
      </c>
      <c r="B22" s="2" t="s">
        <v>12</v>
      </c>
      <c r="D22" s="21">
        <f>A8</f>
        <v>318</v>
      </c>
      <c r="E22" s="2" t="s">
        <v>53</v>
      </c>
      <c r="F22" s="24"/>
      <c r="G22" s="14">
        <f>Mon!J90+Tues!J63+Thurs!J92+Fri!J63</f>
        <v>0</v>
      </c>
      <c r="H22" s="2" t="s">
        <v>133</v>
      </c>
      <c r="N22" s="52" t="s">
        <v>26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3</v>
      </c>
      <c r="B23" s="2" t="s">
        <v>17</v>
      </c>
      <c r="D23" s="21">
        <f>G7</f>
        <v>80</v>
      </c>
      <c r="E23" s="2" t="s">
        <v>133</v>
      </c>
      <c r="F23" s="24"/>
      <c r="G23" s="14">
        <f>Mon!J91+Tues!J64+Thurs!J93+Fri!J64</f>
        <v>3</v>
      </c>
      <c r="H23" s="2" t="s">
        <v>7</v>
      </c>
      <c r="N23" s="52" t="s">
        <v>20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22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21</v>
      </c>
      <c r="O25" s="53">
        <f>10*D9</f>
        <v>750</v>
      </c>
      <c r="P25" s="53">
        <f t="shared" si="1"/>
        <v>5.7692307692307692</v>
      </c>
    </row>
    <row r="26" spans="1:24" ht="12.75" customHeight="1" x14ac:dyDescent="0.25">
      <c r="D26" s="42"/>
      <c r="E26" s="2"/>
      <c r="G26" s="42"/>
      <c r="H26" s="2"/>
      <c r="N26" s="52" t="s">
        <v>23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24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158</v>
      </c>
      <c r="O28" s="53">
        <f>8*D12</f>
        <v>32</v>
      </c>
      <c r="P28" s="53">
        <f>O28/50</f>
        <v>0.64</v>
      </c>
    </row>
    <row r="29" spans="1:24" ht="12.75" customHeight="1" x14ac:dyDescent="0.25">
      <c r="D29" s="42"/>
      <c r="E29" s="2"/>
      <c r="J29" s="42"/>
      <c r="N29" s="52" t="s">
        <v>159</v>
      </c>
      <c r="O29" s="53">
        <f>8*D13</f>
        <v>888</v>
      </c>
      <c r="P29" s="53">
        <f>O29/50</f>
        <v>17.760000000000002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171</v>
      </c>
      <c r="O31" s="56" t="s">
        <v>154</v>
      </c>
      <c r="P31" s="56" t="s">
        <v>155</v>
      </c>
    </row>
    <row r="32" spans="1:24" ht="12.75" customHeight="1" x14ac:dyDescent="0.25">
      <c r="D32" s="42"/>
      <c r="E32" s="2"/>
      <c r="J32" s="42"/>
      <c r="M32" s="22"/>
      <c r="N32" s="52" t="s">
        <v>161</v>
      </c>
      <c r="O32" s="51">
        <f>A4+D4+G4+J5+J7-24*(G17+G20+G23)</f>
        <v>554</v>
      </c>
      <c r="P32" s="51">
        <f>O32/25-24*(G17+G20+G23)</f>
        <v>-49.84</v>
      </c>
      <c r="R32" s="93" t="s">
        <v>170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162</v>
      </c>
      <c r="O33" s="51">
        <f>A5+A8+A9+D5+D10+D11+G5+J6+J8+J10-24*(G18+G21+G24)-20*G19</f>
        <v>1605</v>
      </c>
      <c r="P33" s="51">
        <f>O33/25-24*(G18+G21+G24)-20*G19</f>
        <v>-119.8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163</v>
      </c>
      <c r="O34" s="51">
        <f>D8+D9+J4</f>
        <v>213</v>
      </c>
      <c r="P34" s="51">
        <f t="shared" ref="P34:P36" si="10">O34/25</f>
        <v>8.52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164</v>
      </c>
      <c r="O35" s="51">
        <f>A6+J11</f>
        <v>114</v>
      </c>
      <c r="P35" s="51">
        <f t="shared" si="10"/>
        <v>4.5599999999999996</v>
      </c>
    </row>
    <row r="36" spans="1:24" ht="12.75" customHeight="1" x14ac:dyDescent="0.25">
      <c r="A36" s="24"/>
      <c r="D36" s="42"/>
      <c r="E36" s="2"/>
      <c r="N36" s="51" t="s">
        <v>169</v>
      </c>
      <c r="O36" s="51">
        <f>A7+G6+D7+D6+J9</f>
        <v>170</v>
      </c>
      <c r="P36" s="51">
        <f t="shared" si="10"/>
        <v>6.8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165</v>
      </c>
      <c r="O37" s="51">
        <f>D12+D13</f>
        <v>115</v>
      </c>
      <c r="P37" s="51">
        <f>O37/20</f>
        <v>5.75</v>
      </c>
    </row>
    <row r="38" spans="1:24" ht="12.75" customHeight="1" x14ac:dyDescent="0.25">
      <c r="A38" s="11"/>
      <c r="B38" s="2"/>
      <c r="D38" s="42"/>
      <c r="E38" s="2"/>
      <c r="N38" s="51" t="s">
        <v>168</v>
      </c>
      <c r="O38" s="51">
        <f>G7-13*G22</f>
        <v>80</v>
      </c>
      <c r="P38" s="51">
        <f>O38/20-13*G22</f>
        <v>4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2024-08-15T19:07:24Z</cp:lastPrinted>
  <dcterms:created xsi:type="dcterms:W3CDTF">2014-06-06T13:58:10Z</dcterms:created>
  <dcterms:modified xsi:type="dcterms:W3CDTF">2024-08-16T14:50:03Z</dcterms:modified>
</cp:coreProperties>
</file>